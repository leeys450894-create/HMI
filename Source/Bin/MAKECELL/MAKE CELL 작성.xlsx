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GTalk\"/>
    </mc:Choice>
  </mc:AlternateContent>
  <bookViews>
    <workbookView xWindow="0" yWindow="0" windowWidth="19950" windowHeight="10950"/>
  </bookViews>
  <sheets>
    <sheet name="모델 생성 순서" sheetId="4" r:id="rId1"/>
    <sheet name="9Q3_R01" sheetId="3" r:id="rId2"/>
    <sheet name="TEST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3" l="1"/>
  <c r="G43" i="3"/>
  <c r="G58" i="3"/>
  <c r="G57" i="3"/>
  <c r="M23" i="3" l="1"/>
  <c r="N23" i="3" s="1"/>
  <c r="L23" i="3"/>
  <c r="N22" i="3"/>
  <c r="M22" i="3"/>
  <c r="L22" i="3"/>
  <c r="G39" i="3"/>
  <c r="G41" i="3" s="1"/>
  <c r="G40" i="3"/>
  <c r="G42" i="3" s="1"/>
  <c r="G35" i="3"/>
  <c r="G37" i="3" s="1"/>
  <c r="G36" i="3"/>
  <c r="G38" i="3" s="1"/>
  <c r="G46" i="3"/>
  <c r="G45" i="3"/>
  <c r="D73" i="3"/>
  <c r="G52" i="3" s="1"/>
  <c r="G54" i="3" s="1"/>
  <c r="D72" i="3"/>
  <c r="G53" i="3" s="1"/>
  <c r="G55" i="3" s="1"/>
  <c r="C73" i="3"/>
  <c r="C72" i="3"/>
  <c r="B73" i="3"/>
  <c r="B72" i="3"/>
  <c r="F73" i="3"/>
  <c r="F72" i="3"/>
  <c r="E73" i="3"/>
  <c r="E72" i="3"/>
  <c r="G32" i="3"/>
  <c r="G34" i="3" s="1"/>
  <c r="G31" i="3"/>
  <c r="G33" i="3" s="1"/>
  <c r="G28" i="3"/>
  <c r="G27" i="3"/>
  <c r="G13" i="1" l="1"/>
  <c r="F3" i="1"/>
  <c r="L10" i="1" s="1"/>
  <c r="F2" i="1"/>
  <c r="L9" i="1" s="1"/>
  <c r="M9" i="1" l="1"/>
  <c r="G3" i="1"/>
  <c r="I3" i="1" s="1"/>
  <c r="G2" i="1"/>
  <c r="I2" i="1"/>
  <c r="M10" i="1"/>
  <c r="K69" i="1"/>
  <c r="I69" i="1"/>
  <c r="L69" i="1" s="1"/>
  <c r="J48" i="1"/>
  <c r="J49" i="1"/>
  <c r="H65" i="1"/>
  <c r="F11" i="1" l="1"/>
  <c r="F14" i="1"/>
  <c r="L14" i="1"/>
  <c r="U30" i="1"/>
  <c r="T30" i="1"/>
  <c r="T28" i="1"/>
  <c r="T27" i="1"/>
  <c r="V29" i="1" s="1"/>
  <c r="L27" i="1"/>
  <c r="L38" i="1"/>
  <c r="K38" i="1"/>
  <c r="J38" i="1"/>
  <c r="I38" i="1"/>
  <c r="M38" i="1"/>
  <c r="M46" i="1"/>
  <c r="H49" i="1"/>
  <c r="H56" i="1" s="1"/>
  <c r="I56" i="1" s="1"/>
  <c r="H48" i="1"/>
  <c r="M42" i="1"/>
  <c r="M39" i="1"/>
  <c r="L39" i="1"/>
  <c r="K39" i="1"/>
  <c r="J39" i="1"/>
  <c r="M22" i="1"/>
  <c r="L22" i="1"/>
  <c r="K22" i="1"/>
  <c r="J22" i="1"/>
  <c r="I22" i="1"/>
  <c r="I30" i="1"/>
  <c r="K23" i="1"/>
  <c r="L23" i="1"/>
  <c r="M23" i="1"/>
  <c r="J23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22" i="1"/>
  <c r="I27" i="1"/>
  <c r="I28" i="1"/>
  <c r="H13" i="1"/>
  <c r="H14" i="1" s="1"/>
  <c r="H9" i="1"/>
</calcChain>
</file>

<file path=xl/sharedStrings.xml><?xml version="1.0" encoding="utf-8"?>
<sst xmlns="http://schemas.openxmlformats.org/spreadsheetml/2006/main" count="100" uniqueCount="65">
  <si>
    <t>I</t>
    <phoneticPr fontId="1" type="noConversion"/>
  </si>
  <si>
    <t>J</t>
    <phoneticPr fontId="1" type="noConversion"/>
  </si>
  <si>
    <t>M</t>
    <phoneticPr fontId="1" type="noConversion"/>
  </si>
  <si>
    <t>N</t>
    <phoneticPr fontId="1" type="noConversion"/>
  </si>
  <si>
    <t>X1</t>
    <phoneticPr fontId="1" type="noConversion"/>
  </si>
  <si>
    <t>X2</t>
    <phoneticPr fontId="1" type="noConversion"/>
  </si>
  <si>
    <t>90˚</t>
  </si>
  <si>
    <t>6,6,6</t>
  </si>
  <si>
    <t>88.272,88.272</t>
  </si>
  <si>
    <t>X7</t>
    <phoneticPr fontId="1" type="noConversion"/>
  </si>
  <si>
    <t>X6</t>
    <phoneticPr fontId="1" type="noConversion"/>
  </si>
  <si>
    <t>925/2 - E</t>
    <phoneticPr fontId="1" type="noConversion"/>
  </si>
  <si>
    <t>1500/2 - F</t>
    <phoneticPr fontId="1" type="noConversion"/>
  </si>
  <si>
    <t>B</t>
    <phoneticPr fontId="1" type="noConversion"/>
  </si>
  <si>
    <t>T</t>
    <phoneticPr fontId="1" type="noConversion"/>
  </si>
  <si>
    <t>S</t>
    <phoneticPr fontId="1" type="noConversion"/>
  </si>
  <si>
    <t>X2-F</t>
    <phoneticPr fontId="1" type="noConversion"/>
  </si>
  <si>
    <t>X1-E</t>
    <phoneticPr fontId="1" type="noConversion"/>
  </si>
  <si>
    <t>0˚</t>
  </si>
  <si>
    <t>3,3,3</t>
  </si>
  <si>
    <t>171.6,171.6</t>
  </si>
  <si>
    <t>X6</t>
    <phoneticPr fontId="1" type="noConversion"/>
  </si>
  <si>
    <t>X7</t>
    <phoneticPr fontId="1" type="noConversion"/>
  </si>
  <si>
    <t>M</t>
    <phoneticPr fontId="1" type="noConversion"/>
  </si>
  <si>
    <t>N</t>
    <phoneticPr fontId="1" type="noConversion"/>
  </si>
  <si>
    <t>S</t>
    <phoneticPr fontId="1" type="noConversion"/>
  </si>
  <si>
    <t>X1</t>
    <phoneticPr fontId="1" type="noConversion"/>
  </si>
  <si>
    <t>X</t>
    <phoneticPr fontId="1" type="noConversion"/>
  </si>
  <si>
    <t>Y</t>
    <phoneticPr fontId="1" type="noConversion"/>
  </si>
  <si>
    <t>Global Mark</t>
    <phoneticPr fontId="1" type="noConversion"/>
  </si>
  <si>
    <t>CELL CENTER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</si>
  <si>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</si>
  <si>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</si>
  <si>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</si>
  <si>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</si>
  <si>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</si>
  <si>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</si>
  <si>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</si>
  <si>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</si>
  <si>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</si>
  <si>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</si>
  <si>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</si>
  <si>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</si>
  <si>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</si>
  <si>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</si>
  <si>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</si>
  <si>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</si>
  <si>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</si>
  <si>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</si>
  <si>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</si>
  <si>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</si>
  <si>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</si>
  <si>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</si>
  <si>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</si>
  <si>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</si>
  <si>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Global Mark*2</t>
    <phoneticPr fontId="1" type="noConversion"/>
  </si>
  <si>
    <t>Global Mark-EDGE</t>
    <phoneticPr fontId="1" type="noConversion"/>
  </si>
  <si>
    <t>Panel Mark</t>
    <phoneticPr fontId="1" type="noConversion"/>
  </si>
  <si>
    <t>Contact Pad</t>
    <phoneticPr fontId="1" type="noConversion"/>
  </si>
  <si>
    <t>Glass EDGE</t>
    <phoneticPr fontId="1" type="noConversion"/>
  </si>
  <si>
    <t>CELL CENTER-Glass EDGE</t>
    <phoneticPr fontId="1" type="noConversion"/>
  </si>
  <si>
    <t>CEL to CELL</t>
    <phoneticPr fontId="1" type="noConversion"/>
  </si>
  <si>
    <t>Active Area</t>
    <phoneticPr fontId="1" type="noConversion"/>
  </si>
  <si>
    <t>PANEL</t>
    <phoneticPr fontId="1" type="noConversion"/>
  </si>
  <si>
    <t>Block 간격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</si>
</sst>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00"/>
    <numFmt numFmtId="177" formatCode="0.0000"/>
    <numFmt numFmtId="178" formatCode="0.0000_ "/>
    <numFmt numFmtId="179" formatCode="0.0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3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0" fillId="5" borderId="0" xfId="0" applyFill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28575</xdr:rowOff>
    </xdr:from>
    <xdr:to>
      <xdr:col>4</xdr:col>
      <xdr:colOff>342900</xdr:colOff>
      <xdr:row>12</xdr:row>
      <xdr:rowOff>133075</xdr:rowOff>
    </xdr:to>
    <xdr:grpSp>
      <xdr:nvGrpSpPr>
        <xdr:cNvPr id="11" name="그룹 10"/>
        <xdr:cNvGrpSpPr/>
      </xdr:nvGrpSpPr>
      <xdr:grpSpPr>
        <a:xfrm>
          <a:off x="767531" y="458736"/>
          <a:ext cx="2340692" cy="2255307"/>
          <a:chOff x="171450" y="1485900"/>
          <a:chExt cx="2324100" cy="2200000"/>
        </a:xfrm>
      </xdr:grpSpPr>
      <xdr:pic>
        <xdr:nvPicPr>
          <xdr:cNvPr id="3" name="그림 2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1450" y="1485900"/>
            <a:ext cx="2123810" cy="2200000"/>
          </a:xfrm>
          <a:prstGeom prst="rect">
            <a:avLst/>
          </a:prstGeom>
        </xdr:spPr>
      </xdr:pic>
      <xdr:sp macro="" textlink="">
        <xdr:nvSpPr>
          <xdr:cNvPr id="5" name="직사각형 4"/>
          <xdr:cNvSpPr/>
        </xdr:nvSpPr>
        <xdr:spPr>
          <a:xfrm>
            <a:off x="933450" y="1714500"/>
            <a:ext cx="1562100" cy="781050"/>
          </a:xfrm>
          <a:prstGeom prst="rect">
            <a:avLst/>
          </a:prstGeom>
          <a:noFill/>
          <a:ln w="3810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34106</xdr:colOff>
      <xdr:row>27</xdr:row>
      <xdr:rowOff>140728</xdr:rowOff>
    </xdr:from>
    <xdr:to>
      <xdr:col>17</xdr:col>
      <xdr:colOff>110254</xdr:colOff>
      <xdr:row>33</xdr:row>
      <xdr:rowOff>193721</xdr:rowOff>
    </xdr:to>
    <xdr:grpSp>
      <xdr:nvGrpSpPr>
        <xdr:cNvPr id="15" name="그룹 14"/>
        <xdr:cNvGrpSpPr/>
      </xdr:nvGrpSpPr>
      <xdr:grpSpPr>
        <a:xfrm>
          <a:off x="6256082" y="5947905"/>
          <a:ext cx="5606793" cy="1343477"/>
          <a:chOff x="8028013" y="1376133"/>
          <a:chExt cx="5562304" cy="1304762"/>
        </a:xfrm>
      </xdr:grpSpPr>
      <xdr:pic>
        <xdr:nvPicPr>
          <xdr:cNvPr id="2" name="그림 1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028013" y="1376133"/>
            <a:ext cx="5380952" cy="1304762"/>
          </a:xfrm>
          <a:prstGeom prst="rect">
            <a:avLst/>
          </a:prstGeom>
        </xdr:spPr>
      </xdr:pic>
      <xdr:sp macro="" textlink="">
        <xdr:nvSpPr>
          <xdr:cNvPr id="7" name="직사각형 6"/>
          <xdr:cNvSpPr/>
        </xdr:nvSpPr>
        <xdr:spPr>
          <a:xfrm>
            <a:off x="12299325" y="1871434"/>
            <a:ext cx="1290992" cy="781050"/>
          </a:xfrm>
          <a:prstGeom prst="rect">
            <a:avLst/>
          </a:prstGeom>
          <a:noFill/>
          <a:ln w="3810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0</xdr:col>
      <xdr:colOff>650519</xdr:colOff>
      <xdr:row>39</xdr:row>
      <xdr:rowOff>146562</xdr:rowOff>
    </xdr:from>
    <xdr:to>
      <xdr:col>8</xdr:col>
      <xdr:colOff>619074</xdr:colOff>
      <xdr:row>45</xdr:row>
      <xdr:rowOff>146405</xdr:rowOff>
    </xdr:to>
    <xdr:grpSp>
      <xdr:nvGrpSpPr>
        <xdr:cNvPr id="18" name="그룹 17"/>
        <xdr:cNvGrpSpPr/>
      </xdr:nvGrpSpPr>
      <xdr:grpSpPr>
        <a:xfrm>
          <a:off x="650519" y="8534707"/>
          <a:ext cx="5499200" cy="1290327"/>
          <a:chOff x="8869672" y="1882570"/>
          <a:chExt cx="5499200" cy="1290327"/>
        </a:xfrm>
      </xdr:grpSpPr>
      <xdr:pic>
        <xdr:nvPicPr>
          <xdr:cNvPr id="4" name="그림 3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006348" y="1882570"/>
            <a:ext cx="5362524" cy="1290327"/>
          </a:xfrm>
          <a:prstGeom prst="rect">
            <a:avLst/>
          </a:prstGeom>
        </xdr:spPr>
      </xdr:pic>
      <xdr:sp macro="" textlink="">
        <xdr:nvSpPr>
          <xdr:cNvPr id="8" name="직사각형 7"/>
          <xdr:cNvSpPr/>
        </xdr:nvSpPr>
        <xdr:spPr>
          <a:xfrm>
            <a:off x="8869672" y="2451611"/>
            <a:ext cx="2191618" cy="300806"/>
          </a:xfrm>
          <a:prstGeom prst="rect">
            <a:avLst/>
          </a:prstGeom>
          <a:noFill/>
          <a:ln w="3810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5223</xdr:colOff>
      <xdr:row>50</xdr:row>
      <xdr:rowOff>922</xdr:rowOff>
    </xdr:from>
    <xdr:to>
      <xdr:col>8</xdr:col>
      <xdr:colOff>528433</xdr:colOff>
      <xdr:row>56</xdr:row>
      <xdr:rowOff>764</xdr:rowOff>
    </xdr:to>
    <xdr:grpSp>
      <xdr:nvGrpSpPr>
        <xdr:cNvPr id="19" name="그룹 18"/>
        <xdr:cNvGrpSpPr/>
      </xdr:nvGrpSpPr>
      <xdr:grpSpPr>
        <a:xfrm>
          <a:off x="696554" y="10754954"/>
          <a:ext cx="5362524" cy="1290326"/>
          <a:chOff x="9053973" y="3995277"/>
          <a:chExt cx="5362524" cy="1290326"/>
        </a:xfrm>
      </xdr:grpSpPr>
      <xdr:pic>
        <xdr:nvPicPr>
          <xdr:cNvPr id="9" name="그림 8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053973" y="3995277"/>
            <a:ext cx="5362524" cy="1290326"/>
          </a:xfrm>
          <a:prstGeom prst="rect">
            <a:avLst/>
          </a:prstGeom>
        </xdr:spPr>
      </xdr:pic>
      <xdr:sp macro="" textlink="">
        <xdr:nvSpPr>
          <xdr:cNvPr id="10" name="직사각형 9"/>
          <xdr:cNvSpPr/>
        </xdr:nvSpPr>
        <xdr:spPr>
          <a:xfrm>
            <a:off x="9995158" y="4014327"/>
            <a:ext cx="1302053" cy="803172"/>
          </a:xfrm>
          <a:prstGeom prst="rect">
            <a:avLst/>
          </a:prstGeom>
          <a:noFill/>
          <a:ln w="3810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78404</xdr:colOff>
      <xdr:row>15</xdr:row>
      <xdr:rowOff>19050</xdr:rowOff>
    </xdr:from>
    <xdr:to>
      <xdr:col>9</xdr:col>
      <xdr:colOff>85052</xdr:colOff>
      <xdr:row>21</xdr:row>
      <xdr:rowOff>66512</xdr:rowOff>
    </xdr:to>
    <xdr:grpSp>
      <xdr:nvGrpSpPr>
        <xdr:cNvPr id="14" name="그룹 13"/>
        <xdr:cNvGrpSpPr/>
      </xdr:nvGrpSpPr>
      <xdr:grpSpPr>
        <a:xfrm>
          <a:off x="769735" y="3245260"/>
          <a:ext cx="5537293" cy="1337946"/>
          <a:chOff x="764204" y="3162300"/>
          <a:chExt cx="5493048" cy="1304762"/>
        </a:xfrm>
      </xdr:grpSpPr>
      <xdr:pic>
        <xdr:nvPicPr>
          <xdr:cNvPr id="12" name="그림 11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76300" y="3162300"/>
            <a:ext cx="5380952" cy="1304762"/>
          </a:xfrm>
          <a:prstGeom prst="rect">
            <a:avLst/>
          </a:prstGeom>
        </xdr:spPr>
      </xdr:pic>
      <xdr:sp macro="" textlink="">
        <xdr:nvSpPr>
          <xdr:cNvPr id="13" name="직사각형 12"/>
          <xdr:cNvSpPr/>
        </xdr:nvSpPr>
        <xdr:spPr>
          <a:xfrm>
            <a:off x="764204" y="3362325"/>
            <a:ext cx="1290992" cy="781050"/>
          </a:xfrm>
          <a:prstGeom prst="rect">
            <a:avLst/>
          </a:prstGeom>
          <a:noFill/>
          <a:ln w="3810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0</xdr:col>
      <xdr:colOff>561975</xdr:colOff>
      <xdr:row>27</xdr:row>
      <xdr:rowOff>161007</xdr:rowOff>
    </xdr:from>
    <xdr:to>
      <xdr:col>8</xdr:col>
      <xdr:colOff>613370</xdr:colOff>
      <xdr:row>32</xdr:row>
      <xdr:rowOff>207532</xdr:rowOff>
    </xdr:to>
    <xdr:grpSp>
      <xdr:nvGrpSpPr>
        <xdr:cNvPr id="23" name="그룹 22"/>
        <xdr:cNvGrpSpPr/>
      </xdr:nvGrpSpPr>
      <xdr:grpSpPr>
        <a:xfrm>
          <a:off x="561975" y="5968184"/>
          <a:ext cx="5582040" cy="1121929"/>
          <a:chOff x="561975" y="5968184"/>
          <a:chExt cx="5582040" cy="1121929"/>
        </a:xfrm>
      </xdr:grpSpPr>
      <xdr:pic>
        <xdr:nvPicPr>
          <xdr:cNvPr id="16" name="그림 15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61975" y="5968184"/>
            <a:ext cx="5415674" cy="1075272"/>
          </a:xfrm>
          <a:prstGeom prst="rect">
            <a:avLst/>
          </a:prstGeom>
        </xdr:spPr>
      </xdr:pic>
      <xdr:sp macro="" textlink="">
        <xdr:nvSpPr>
          <xdr:cNvPr id="17" name="직사각형 16"/>
          <xdr:cNvSpPr/>
        </xdr:nvSpPr>
        <xdr:spPr>
          <a:xfrm>
            <a:off x="4842697" y="6285888"/>
            <a:ext cx="1301318" cy="804225"/>
          </a:xfrm>
          <a:prstGeom prst="rect">
            <a:avLst/>
          </a:prstGeom>
          <a:noFill/>
          <a:ln w="3810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0</xdr:col>
      <xdr:colOff>603147</xdr:colOff>
      <xdr:row>88</xdr:row>
      <xdr:rowOff>51612</xdr:rowOff>
    </xdr:from>
    <xdr:to>
      <xdr:col>8</xdr:col>
      <xdr:colOff>435026</xdr:colOff>
      <xdr:row>94</xdr:row>
      <xdr:rowOff>51454</xdr:rowOff>
    </xdr:to>
    <xdr:grpSp>
      <xdr:nvGrpSpPr>
        <xdr:cNvPr id="20" name="그룹 19"/>
        <xdr:cNvGrpSpPr/>
      </xdr:nvGrpSpPr>
      <xdr:grpSpPr>
        <a:xfrm>
          <a:off x="603147" y="18978709"/>
          <a:ext cx="5362524" cy="1290326"/>
          <a:chOff x="9053973" y="3995277"/>
          <a:chExt cx="5362524" cy="1290326"/>
        </a:xfrm>
      </xdr:grpSpPr>
      <xdr:pic>
        <xdr:nvPicPr>
          <xdr:cNvPr id="21" name="그림 20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053973" y="3995277"/>
            <a:ext cx="5362524" cy="1290326"/>
          </a:xfrm>
          <a:prstGeom prst="rect">
            <a:avLst/>
          </a:prstGeom>
        </xdr:spPr>
      </xdr:pic>
      <xdr:sp macro="" textlink="">
        <xdr:nvSpPr>
          <xdr:cNvPr id="22" name="직사각형 21"/>
          <xdr:cNvSpPr/>
        </xdr:nvSpPr>
        <xdr:spPr>
          <a:xfrm>
            <a:off x="11884798" y="4014327"/>
            <a:ext cx="1302053" cy="803172"/>
          </a:xfrm>
          <a:prstGeom prst="rect">
            <a:avLst/>
          </a:prstGeom>
          <a:noFill/>
          <a:ln w="3810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307258</xdr:colOff>
      <xdr:row>4</xdr:row>
      <xdr:rowOff>30725</xdr:rowOff>
    </xdr:from>
    <xdr:to>
      <xdr:col>15</xdr:col>
      <xdr:colOff>568427</xdr:colOff>
      <xdr:row>7</xdr:row>
      <xdr:rowOff>184354</xdr:rowOff>
    </xdr:to>
    <xdr:sp macro="" textlink="">
      <xdr:nvSpPr>
        <xdr:cNvPr id="24" name="TextBox 23"/>
        <xdr:cNvSpPr txBox="1"/>
      </xdr:nvSpPr>
      <xdr:spPr>
        <a:xfrm>
          <a:off x="5837903" y="891048"/>
          <a:ext cx="5100484" cy="798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신규 모델 좌표 생성 시작</a:t>
          </a:r>
        </a:p>
      </xdr:txBody>
    </xdr:sp>
    <xdr:clientData/>
  </xdr:twoCellAnchor>
  <xdr:twoCellAnchor>
    <xdr:from>
      <xdr:col>10</xdr:col>
      <xdr:colOff>505747</xdr:colOff>
      <xdr:row>15</xdr:row>
      <xdr:rowOff>75585</xdr:rowOff>
    </xdr:from>
    <xdr:to>
      <xdr:col>18</xdr:col>
      <xdr:colOff>75585</xdr:colOff>
      <xdr:row>19</xdr:row>
      <xdr:rowOff>14134</xdr:rowOff>
    </xdr:to>
    <xdr:sp macro="" textlink="">
      <xdr:nvSpPr>
        <xdr:cNvPr id="28" name="TextBox 27"/>
        <xdr:cNvSpPr txBox="1"/>
      </xdr:nvSpPr>
      <xdr:spPr>
        <a:xfrm>
          <a:off x="7419053" y="3301795"/>
          <a:ext cx="5100484" cy="798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기본 모델 파일 </a:t>
          </a:r>
          <a:r>
            <a:rPr lang="en-US" altLang="ko-KR" sz="1100"/>
            <a:t>OPEN</a:t>
          </a:r>
          <a:endParaRPr lang="ko-KR" altLang="en-US" sz="1100"/>
        </a:p>
      </xdr:txBody>
    </xdr:sp>
    <xdr:clientData/>
  </xdr:twoCellAnchor>
  <xdr:twoCellAnchor>
    <xdr:from>
      <xdr:col>18</xdr:col>
      <xdr:colOff>89719</xdr:colOff>
      <xdr:row>27</xdr:row>
      <xdr:rowOff>181897</xdr:rowOff>
    </xdr:from>
    <xdr:to>
      <xdr:col>25</xdr:col>
      <xdr:colOff>350889</xdr:colOff>
      <xdr:row>31</xdr:row>
      <xdr:rowOff>120445</xdr:rowOff>
    </xdr:to>
    <xdr:sp macro="" textlink="">
      <xdr:nvSpPr>
        <xdr:cNvPr id="29" name="TextBox 28"/>
        <xdr:cNvSpPr txBox="1"/>
      </xdr:nvSpPr>
      <xdr:spPr>
        <a:xfrm>
          <a:off x="12533671" y="5989074"/>
          <a:ext cx="5100484" cy="798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Contact</a:t>
          </a:r>
          <a:r>
            <a:rPr lang="en-US" altLang="ko-KR" sz="1100" baseline="0"/>
            <a:t> Pac </a:t>
          </a:r>
          <a:r>
            <a:rPr lang="ko-KR" altLang="en-US" sz="1100" baseline="0"/>
            <a:t>위치에 따라 </a:t>
          </a:r>
          <a:r>
            <a:rPr lang="en-US" altLang="ko-KR" sz="1100" baseline="0"/>
            <a:t>0 </a:t>
          </a:r>
          <a:r>
            <a:rPr lang="ko-KR" altLang="en-US" sz="1100" baseline="0"/>
            <a:t>혹은 </a:t>
          </a:r>
          <a:r>
            <a:rPr lang="en-US" altLang="ko-KR" sz="1100" baseline="0"/>
            <a:t>90 </a:t>
          </a:r>
          <a:r>
            <a:rPr lang="ko-KR" altLang="en-US" sz="1100" baseline="0"/>
            <a:t>으로 선택</a:t>
          </a:r>
          <a:endParaRPr lang="en-US" altLang="ko-KR" sz="1100" baseline="0"/>
        </a:p>
        <a:p>
          <a:endParaRPr lang="en-US" altLang="ko-KR" sz="1100" baseline="0"/>
        </a:p>
      </xdr:txBody>
    </xdr:sp>
    <xdr:clientData/>
  </xdr:twoCellAnchor>
  <xdr:twoCellAnchor>
    <xdr:from>
      <xdr:col>10</xdr:col>
      <xdr:colOff>626192</xdr:colOff>
      <xdr:row>40</xdr:row>
      <xdr:rowOff>88490</xdr:rowOff>
    </xdr:from>
    <xdr:to>
      <xdr:col>18</xdr:col>
      <xdr:colOff>196030</xdr:colOff>
      <xdr:row>44</xdr:row>
      <xdr:rowOff>27039</xdr:rowOff>
    </xdr:to>
    <xdr:sp macro="" textlink="">
      <xdr:nvSpPr>
        <xdr:cNvPr id="30" name="TextBox 29"/>
        <xdr:cNvSpPr txBox="1"/>
      </xdr:nvSpPr>
      <xdr:spPr>
        <a:xfrm>
          <a:off x="7539498" y="8691716"/>
          <a:ext cx="5100484" cy="798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aseline="0"/>
            <a:t>신규 모델 이름 입력</a:t>
          </a:r>
          <a:endParaRPr lang="en-US" altLang="ko-KR" sz="1100" baseline="0"/>
        </a:p>
      </xdr:txBody>
    </xdr:sp>
    <xdr:clientData/>
  </xdr:twoCellAnchor>
  <xdr:twoCellAnchor>
    <xdr:from>
      <xdr:col>10</xdr:col>
      <xdr:colOff>655688</xdr:colOff>
      <xdr:row>50</xdr:row>
      <xdr:rowOff>179439</xdr:rowOff>
    </xdr:from>
    <xdr:to>
      <xdr:col>18</xdr:col>
      <xdr:colOff>225526</xdr:colOff>
      <xdr:row>54</xdr:row>
      <xdr:rowOff>117987</xdr:rowOff>
    </xdr:to>
    <xdr:sp macro="" textlink="">
      <xdr:nvSpPr>
        <xdr:cNvPr id="31" name="TextBox 30"/>
        <xdr:cNvSpPr txBox="1"/>
      </xdr:nvSpPr>
      <xdr:spPr>
        <a:xfrm>
          <a:off x="7568994" y="10933471"/>
          <a:ext cx="5100484" cy="798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aseline="0"/>
            <a:t>모델 저장</a:t>
          </a:r>
          <a:endParaRPr lang="en-US" altLang="ko-KR" sz="1100" baseline="0"/>
        </a:p>
      </xdr:txBody>
    </xdr:sp>
    <xdr:clientData/>
  </xdr:twoCellAnchor>
  <xdr:twoCellAnchor>
    <xdr:from>
      <xdr:col>10</xdr:col>
      <xdr:colOff>623733</xdr:colOff>
      <xdr:row>88</xdr:row>
      <xdr:rowOff>101388</xdr:rowOff>
    </xdr:from>
    <xdr:to>
      <xdr:col>18</xdr:col>
      <xdr:colOff>193571</xdr:colOff>
      <xdr:row>92</xdr:row>
      <xdr:rowOff>39937</xdr:rowOff>
    </xdr:to>
    <xdr:sp macro="" textlink="">
      <xdr:nvSpPr>
        <xdr:cNvPr id="32" name="TextBox 31"/>
        <xdr:cNvSpPr txBox="1"/>
      </xdr:nvSpPr>
      <xdr:spPr>
        <a:xfrm>
          <a:off x="7537039" y="19028485"/>
          <a:ext cx="5100484" cy="798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aseline="0"/>
            <a:t>값 입력 후 레시피 생성</a:t>
          </a:r>
          <a:endParaRPr lang="en-US" altLang="ko-KR" sz="1100" baseline="0"/>
        </a:p>
      </xdr:txBody>
    </xdr:sp>
    <xdr:clientData/>
  </xdr:twoCellAnchor>
  <xdr:twoCellAnchor editAs="oneCell">
    <xdr:from>
      <xdr:col>1</xdr:col>
      <xdr:colOff>557059</xdr:colOff>
      <xdr:row>59</xdr:row>
      <xdr:rowOff>199412</xdr:rowOff>
    </xdr:from>
    <xdr:to>
      <xdr:col>5</xdr:col>
      <xdr:colOff>552435</xdr:colOff>
      <xdr:row>77</xdr:row>
      <xdr:rowOff>92178</xdr:rowOff>
    </xdr:to>
    <xdr:pic>
      <xdr:nvPicPr>
        <xdr:cNvPr id="33" name="그림 32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5549"/>
        <a:stretch/>
      </xdr:blipFill>
      <xdr:spPr>
        <a:xfrm>
          <a:off x="1248390" y="12889170"/>
          <a:ext cx="2760698" cy="3764218"/>
        </a:xfrm>
        <a:prstGeom prst="rect">
          <a:avLst/>
        </a:prstGeom>
      </xdr:spPr>
    </xdr:pic>
    <xdr:clientData/>
  </xdr:twoCellAnchor>
  <xdr:twoCellAnchor>
    <xdr:from>
      <xdr:col>11</xdr:col>
      <xdr:colOff>39942</xdr:colOff>
      <xdr:row>66</xdr:row>
      <xdr:rowOff>39944</xdr:rowOff>
    </xdr:from>
    <xdr:to>
      <xdr:col>18</xdr:col>
      <xdr:colOff>301111</xdr:colOff>
      <xdr:row>69</xdr:row>
      <xdr:rowOff>193573</xdr:rowOff>
    </xdr:to>
    <xdr:sp macro="" textlink="">
      <xdr:nvSpPr>
        <xdr:cNvPr id="34" name="TextBox 33"/>
        <xdr:cNvSpPr txBox="1"/>
      </xdr:nvSpPr>
      <xdr:spPr>
        <a:xfrm>
          <a:off x="7644579" y="14235267"/>
          <a:ext cx="5100484" cy="798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aseline="0"/>
            <a:t>모델 정보 입력</a:t>
          </a:r>
          <a:endParaRPr lang="en-US" altLang="ko-KR" sz="1100" baseline="0"/>
        </a:p>
      </xdr:txBody>
    </xdr:sp>
    <xdr:clientData/>
  </xdr:twoCellAnchor>
  <xdr:twoCellAnchor>
    <xdr:from>
      <xdr:col>1</xdr:col>
      <xdr:colOff>50083</xdr:colOff>
      <xdr:row>79</xdr:row>
      <xdr:rowOff>36251</xdr:rowOff>
    </xdr:from>
    <xdr:to>
      <xdr:col>8</xdr:col>
      <xdr:colOff>573293</xdr:colOff>
      <xdr:row>85</xdr:row>
      <xdr:rowOff>36093</xdr:rowOff>
    </xdr:to>
    <xdr:grpSp>
      <xdr:nvGrpSpPr>
        <xdr:cNvPr id="35" name="그룹 34"/>
        <xdr:cNvGrpSpPr/>
      </xdr:nvGrpSpPr>
      <xdr:grpSpPr>
        <a:xfrm>
          <a:off x="741414" y="17027622"/>
          <a:ext cx="5362524" cy="1290326"/>
          <a:chOff x="9053973" y="3995277"/>
          <a:chExt cx="5362524" cy="1290326"/>
        </a:xfrm>
      </xdr:grpSpPr>
      <xdr:pic>
        <xdr:nvPicPr>
          <xdr:cNvPr id="36" name="그림 35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053973" y="3995277"/>
            <a:ext cx="5362524" cy="1290326"/>
          </a:xfrm>
          <a:prstGeom prst="rect">
            <a:avLst/>
          </a:prstGeom>
        </xdr:spPr>
      </xdr:pic>
      <xdr:sp macro="" textlink="">
        <xdr:nvSpPr>
          <xdr:cNvPr id="37" name="직사각형 36"/>
          <xdr:cNvSpPr/>
        </xdr:nvSpPr>
        <xdr:spPr>
          <a:xfrm>
            <a:off x="9995158" y="4014327"/>
            <a:ext cx="1302053" cy="803172"/>
          </a:xfrm>
          <a:prstGeom prst="rect">
            <a:avLst/>
          </a:prstGeom>
          <a:noFill/>
          <a:ln w="3810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9217</xdr:colOff>
      <xdr:row>80</xdr:row>
      <xdr:rowOff>9212</xdr:rowOff>
    </xdr:from>
    <xdr:to>
      <xdr:col>18</xdr:col>
      <xdr:colOff>270386</xdr:colOff>
      <xdr:row>83</xdr:row>
      <xdr:rowOff>162841</xdr:rowOff>
    </xdr:to>
    <xdr:sp macro="" textlink="">
      <xdr:nvSpPr>
        <xdr:cNvPr id="38" name="TextBox 37"/>
        <xdr:cNvSpPr txBox="1"/>
      </xdr:nvSpPr>
      <xdr:spPr>
        <a:xfrm>
          <a:off x="7613854" y="17215664"/>
          <a:ext cx="5100484" cy="798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aseline="0"/>
            <a:t>모델 저장</a:t>
          </a:r>
          <a:endParaRPr lang="en-US" altLang="ko-KR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24811</xdr:rowOff>
    </xdr:from>
    <xdr:to>
      <xdr:col>3</xdr:col>
      <xdr:colOff>869074</xdr:colOff>
      <xdr:row>47</xdr:row>
      <xdr:rowOff>68035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5549"/>
        <a:stretch/>
      </xdr:blipFill>
      <xdr:spPr>
        <a:xfrm>
          <a:off x="0" y="5331597"/>
          <a:ext cx="3359181" cy="43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70758</xdr:colOff>
      <xdr:row>46</xdr:row>
      <xdr:rowOff>180173</xdr:rowOff>
    </xdr:from>
    <xdr:to>
      <xdr:col>3</xdr:col>
      <xdr:colOff>782813</xdr:colOff>
      <xdr:row>68</xdr:row>
      <xdr:rowOff>81642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211"/>
        <a:stretch/>
      </xdr:blipFill>
      <xdr:spPr>
        <a:xfrm>
          <a:off x="70758" y="9569102"/>
          <a:ext cx="3202162" cy="4391826"/>
        </a:xfrm>
        <a:prstGeom prst="rect">
          <a:avLst/>
        </a:prstGeom>
      </xdr:spPr>
    </xdr:pic>
    <xdr:clientData/>
  </xdr:twoCellAnchor>
  <xdr:twoCellAnchor editAs="oneCell">
    <xdr:from>
      <xdr:col>16</xdr:col>
      <xdr:colOff>328574</xdr:colOff>
      <xdr:row>2</xdr:row>
      <xdr:rowOff>1361</xdr:rowOff>
    </xdr:from>
    <xdr:to>
      <xdr:col>20</xdr:col>
      <xdr:colOff>723394</xdr:colOff>
      <xdr:row>6</xdr:row>
      <xdr:rowOff>96494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72681" y="409575"/>
          <a:ext cx="4286463" cy="911562"/>
        </a:xfrm>
        <a:prstGeom prst="rect">
          <a:avLst/>
        </a:prstGeom>
      </xdr:spPr>
    </xdr:pic>
    <xdr:clientData/>
  </xdr:twoCellAnchor>
  <xdr:twoCellAnchor editAs="oneCell">
    <xdr:from>
      <xdr:col>21</xdr:col>
      <xdr:colOff>58912</xdr:colOff>
      <xdr:row>0</xdr:row>
      <xdr:rowOff>27214</xdr:rowOff>
    </xdr:from>
    <xdr:to>
      <xdr:col>25</xdr:col>
      <xdr:colOff>298890</xdr:colOff>
      <xdr:row>31</xdr:row>
      <xdr:rowOff>54973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65519" y="27214"/>
          <a:ext cx="3070264" cy="6355080"/>
        </a:xfrm>
        <a:prstGeom prst="rect">
          <a:avLst/>
        </a:prstGeom>
      </xdr:spPr>
    </xdr:pic>
    <xdr:clientData/>
  </xdr:twoCellAnchor>
  <xdr:twoCellAnchor editAs="oneCell">
    <xdr:from>
      <xdr:col>10</xdr:col>
      <xdr:colOff>398690</xdr:colOff>
      <xdr:row>60</xdr:row>
      <xdr:rowOff>180975</xdr:rowOff>
    </xdr:from>
    <xdr:to>
      <xdr:col>14</xdr:col>
      <xdr:colOff>623854</xdr:colOff>
      <xdr:row>85</xdr:row>
      <xdr:rowOff>189844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43976" y="12427404"/>
          <a:ext cx="3735807" cy="5111547"/>
        </a:xfrm>
        <a:prstGeom prst="rect">
          <a:avLst/>
        </a:prstGeom>
      </xdr:spPr>
    </xdr:pic>
    <xdr:clientData/>
  </xdr:twoCellAnchor>
  <xdr:twoCellAnchor>
    <xdr:from>
      <xdr:col>10</xdr:col>
      <xdr:colOff>323850</xdr:colOff>
      <xdr:row>64</xdr:row>
      <xdr:rowOff>95250</xdr:rowOff>
    </xdr:from>
    <xdr:to>
      <xdr:col>14</xdr:col>
      <xdr:colOff>60008</xdr:colOff>
      <xdr:row>64</xdr:row>
      <xdr:rowOff>114300</xdr:rowOff>
    </xdr:to>
    <xdr:cxnSp macro="">
      <xdr:nvCxnSpPr>
        <xdr:cNvPr id="11" name="직선 화살표 연결선 10"/>
        <xdr:cNvCxnSpPr/>
      </xdr:nvCxnSpPr>
      <xdr:spPr>
        <a:xfrm>
          <a:off x="6496050" y="13506450"/>
          <a:ext cx="2479358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64</xdr:row>
      <xdr:rowOff>104775</xdr:rowOff>
    </xdr:from>
    <xdr:to>
      <xdr:col>10</xdr:col>
      <xdr:colOff>361950</xdr:colOff>
      <xdr:row>82</xdr:row>
      <xdr:rowOff>190500</xdr:rowOff>
    </xdr:to>
    <xdr:cxnSp macro="">
      <xdr:nvCxnSpPr>
        <xdr:cNvPr id="12" name="직선 화살표 연결선 11"/>
        <xdr:cNvCxnSpPr/>
      </xdr:nvCxnSpPr>
      <xdr:spPr>
        <a:xfrm flipH="1">
          <a:off x="6505575" y="13515975"/>
          <a:ext cx="28575" cy="38576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113336</xdr:colOff>
      <xdr:row>54</xdr:row>
      <xdr:rowOff>20732</xdr:rowOff>
    </xdr:from>
    <xdr:to>
      <xdr:col>22</xdr:col>
      <xdr:colOff>149636</xdr:colOff>
      <xdr:row>86</xdr:row>
      <xdr:rowOff>29417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36265" y="11042518"/>
          <a:ext cx="4812407" cy="6540113"/>
        </a:xfrm>
        <a:prstGeom prst="rect">
          <a:avLst/>
        </a:prstGeom>
      </xdr:spPr>
    </xdr:pic>
    <xdr:clientData/>
  </xdr:twoCellAnchor>
  <xdr:twoCellAnchor>
    <xdr:from>
      <xdr:col>18</xdr:col>
      <xdr:colOff>324971</xdr:colOff>
      <xdr:row>57</xdr:row>
      <xdr:rowOff>11205</xdr:rowOff>
    </xdr:from>
    <xdr:to>
      <xdr:col>21</xdr:col>
      <xdr:colOff>639536</xdr:colOff>
      <xdr:row>57</xdr:row>
      <xdr:rowOff>27214</xdr:rowOff>
    </xdr:to>
    <xdr:cxnSp macro="">
      <xdr:nvCxnSpPr>
        <xdr:cNvPr id="17" name="직선 화살표 연결선 16"/>
        <xdr:cNvCxnSpPr/>
      </xdr:nvCxnSpPr>
      <xdr:spPr>
        <a:xfrm>
          <a:off x="13741614" y="11645312"/>
          <a:ext cx="2845493" cy="1600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36019</xdr:colOff>
      <xdr:row>73</xdr:row>
      <xdr:rowOff>201702</xdr:rowOff>
    </xdr:from>
    <xdr:to>
      <xdr:col>19</xdr:col>
      <xdr:colOff>650103</xdr:colOff>
      <xdr:row>88</xdr:row>
      <xdr:rowOff>46121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58948" y="15101523"/>
          <a:ext cx="2627941" cy="2906027"/>
        </a:xfrm>
        <a:prstGeom prst="rect">
          <a:avLst/>
        </a:prstGeom>
      </xdr:spPr>
    </xdr:pic>
    <xdr:clientData/>
  </xdr:twoCellAnchor>
  <xdr:twoCellAnchor>
    <xdr:from>
      <xdr:col>18</xdr:col>
      <xdr:colOff>291353</xdr:colOff>
      <xdr:row>57</xdr:row>
      <xdr:rowOff>22411</xdr:rowOff>
    </xdr:from>
    <xdr:to>
      <xdr:col>18</xdr:col>
      <xdr:colOff>347382</xdr:colOff>
      <xdr:row>80</xdr:row>
      <xdr:rowOff>56030</xdr:rowOff>
    </xdr:to>
    <xdr:cxnSp macro="">
      <xdr:nvCxnSpPr>
        <xdr:cNvPr id="20" name="직선 화살표 연결선 19"/>
        <xdr:cNvCxnSpPr/>
      </xdr:nvCxnSpPr>
      <xdr:spPr>
        <a:xfrm flipH="1">
          <a:off x="11911853" y="12158382"/>
          <a:ext cx="56029" cy="493058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429824</xdr:colOff>
      <xdr:row>86</xdr:row>
      <xdr:rowOff>168085</xdr:rowOff>
    </xdr:from>
    <xdr:to>
      <xdr:col>18</xdr:col>
      <xdr:colOff>454707</xdr:colOff>
      <xdr:row>102</xdr:row>
      <xdr:rowOff>75783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118610" y="17721299"/>
          <a:ext cx="2065955" cy="3173413"/>
        </a:xfrm>
        <a:prstGeom prst="rect">
          <a:avLst/>
        </a:prstGeom>
      </xdr:spPr>
    </xdr:pic>
    <xdr:clientData/>
  </xdr:twoCellAnchor>
  <xdr:twoCellAnchor>
    <xdr:from>
      <xdr:col>18</xdr:col>
      <xdr:colOff>253254</xdr:colOff>
      <xdr:row>80</xdr:row>
      <xdr:rowOff>33618</xdr:rowOff>
    </xdr:from>
    <xdr:to>
      <xdr:col>18</xdr:col>
      <xdr:colOff>291353</xdr:colOff>
      <xdr:row>96</xdr:row>
      <xdr:rowOff>85165</xdr:rowOff>
    </xdr:to>
    <xdr:cxnSp macro="">
      <xdr:nvCxnSpPr>
        <xdr:cNvPr id="26" name="직선 화살표 연결선 25"/>
        <xdr:cNvCxnSpPr/>
      </xdr:nvCxnSpPr>
      <xdr:spPr>
        <a:xfrm flipH="1">
          <a:off x="11873754" y="17066559"/>
          <a:ext cx="38099" cy="34581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163607</xdr:colOff>
      <xdr:row>96</xdr:row>
      <xdr:rowOff>56030</xdr:rowOff>
    </xdr:from>
    <xdr:to>
      <xdr:col>18</xdr:col>
      <xdr:colOff>268942</xdr:colOff>
      <xdr:row>96</xdr:row>
      <xdr:rowOff>62753</xdr:rowOff>
    </xdr:to>
    <xdr:cxnSp macro="">
      <xdr:nvCxnSpPr>
        <xdr:cNvPr id="28" name="직선 화살표 연결선 27"/>
        <xdr:cNvCxnSpPr/>
      </xdr:nvCxnSpPr>
      <xdr:spPr>
        <a:xfrm flipV="1">
          <a:off x="11100548" y="20495559"/>
          <a:ext cx="788894" cy="672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147923</xdr:colOff>
      <xdr:row>56</xdr:row>
      <xdr:rowOff>44823</xdr:rowOff>
    </xdr:from>
    <xdr:to>
      <xdr:col>17</xdr:col>
      <xdr:colOff>179294</xdr:colOff>
      <xdr:row>96</xdr:row>
      <xdr:rowOff>103095</xdr:rowOff>
    </xdr:to>
    <xdr:cxnSp macro="">
      <xdr:nvCxnSpPr>
        <xdr:cNvPr id="30" name="직선 화살표 연결선 29"/>
        <xdr:cNvCxnSpPr/>
      </xdr:nvCxnSpPr>
      <xdr:spPr>
        <a:xfrm flipH="1">
          <a:off x="11084864" y="11967882"/>
          <a:ext cx="31371" cy="857474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168088</xdr:colOff>
      <xdr:row>56</xdr:row>
      <xdr:rowOff>13607</xdr:rowOff>
    </xdr:from>
    <xdr:to>
      <xdr:col>21</xdr:col>
      <xdr:colOff>653143</xdr:colOff>
      <xdr:row>56</xdr:row>
      <xdr:rowOff>44823</xdr:rowOff>
    </xdr:to>
    <xdr:cxnSp macro="">
      <xdr:nvCxnSpPr>
        <xdr:cNvPr id="32" name="직선 화살표 연결선 31"/>
        <xdr:cNvCxnSpPr/>
      </xdr:nvCxnSpPr>
      <xdr:spPr>
        <a:xfrm flipV="1">
          <a:off x="12904374" y="11443607"/>
          <a:ext cx="3696340" cy="312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1621821</xdr:colOff>
      <xdr:row>25</xdr:row>
      <xdr:rowOff>40821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7935535" cy="5143500"/>
        </a:xfrm>
        <a:prstGeom prst="rect">
          <a:avLst/>
        </a:prstGeom>
      </xdr:spPr>
    </xdr:pic>
    <xdr:clientData/>
  </xdr:twoCellAnchor>
  <xdr:twoCellAnchor editAs="oneCell">
    <xdr:from>
      <xdr:col>8</xdr:col>
      <xdr:colOff>1373842</xdr:colOff>
      <xdr:row>0</xdr:row>
      <xdr:rowOff>27214</xdr:rowOff>
    </xdr:from>
    <xdr:to>
      <xdr:col>14</xdr:col>
      <xdr:colOff>326570</xdr:colOff>
      <xdr:row>19</xdr:row>
      <xdr:rowOff>181376</xdr:rowOff>
    </xdr:to>
    <xdr:pic>
      <xdr:nvPicPr>
        <xdr:cNvPr id="38" name="그림 37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4549"/>
        <a:stretch/>
      </xdr:blipFill>
      <xdr:spPr>
        <a:xfrm>
          <a:off x="9578949" y="27214"/>
          <a:ext cx="4558871" cy="4032198"/>
        </a:xfrm>
        <a:prstGeom prst="rect">
          <a:avLst/>
        </a:prstGeom>
      </xdr:spPr>
    </xdr:pic>
    <xdr:clientData/>
  </xdr:twoCellAnchor>
  <xdr:twoCellAnchor editAs="oneCell">
    <xdr:from>
      <xdr:col>7</xdr:col>
      <xdr:colOff>1254254</xdr:colOff>
      <xdr:row>78</xdr:row>
      <xdr:rowOff>67231</xdr:rowOff>
    </xdr:from>
    <xdr:to>
      <xdr:col>9</xdr:col>
      <xdr:colOff>534911</xdr:colOff>
      <xdr:row>92</xdr:row>
      <xdr:rowOff>124562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67968" y="15987588"/>
          <a:ext cx="2587193" cy="2914831"/>
        </a:xfrm>
        <a:prstGeom prst="rect">
          <a:avLst/>
        </a:prstGeom>
      </xdr:spPr>
    </xdr:pic>
    <xdr:clientData/>
  </xdr:twoCellAnchor>
  <xdr:twoCellAnchor>
    <xdr:from>
      <xdr:col>8</xdr:col>
      <xdr:colOff>600311</xdr:colOff>
      <xdr:row>64</xdr:row>
      <xdr:rowOff>22412</xdr:rowOff>
    </xdr:from>
    <xdr:to>
      <xdr:col>8</xdr:col>
      <xdr:colOff>611516</xdr:colOff>
      <xdr:row>84</xdr:row>
      <xdr:rowOff>134471</xdr:rowOff>
    </xdr:to>
    <xdr:cxnSp macro="">
      <xdr:nvCxnSpPr>
        <xdr:cNvPr id="40" name="직선 화살표 연결선 39"/>
        <xdr:cNvCxnSpPr/>
      </xdr:nvCxnSpPr>
      <xdr:spPr>
        <a:xfrm flipH="1">
          <a:off x="7050097" y="13085269"/>
          <a:ext cx="11205" cy="419420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625928</xdr:colOff>
      <xdr:row>64</xdr:row>
      <xdr:rowOff>22413</xdr:rowOff>
    </xdr:from>
    <xdr:to>
      <xdr:col>14</xdr:col>
      <xdr:colOff>1738</xdr:colOff>
      <xdr:row>64</xdr:row>
      <xdr:rowOff>40822</xdr:rowOff>
    </xdr:to>
    <xdr:cxnSp macro="">
      <xdr:nvCxnSpPr>
        <xdr:cNvPr id="42" name="직선 화살표 연결선 41"/>
        <xdr:cNvCxnSpPr/>
      </xdr:nvCxnSpPr>
      <xdr:spPr>
        <a:xfrm flipV="1">
          <a:off x="7075714" y="13085270"/>
          <a:ext cx="4981953" cy="1840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649941</xdr:colOff>
      <xdr:row>64</xdr:row>
      <xdr:rowOff>168091</xdr:rowOff>
    </xdr:from>
    <xdr:to>
      <xdr:col>12</xdr:col>
      <xdr:colOff>246529</xdr:colOff>
      <xdr:row>66</xdr:row>
      <xdr:rowOff>33621</xdr:rowOff>
    </xdr:to>
    <xdr:sp macro="" textlink="">
      <xdr:nvSpPr>
        <xdr:cNvPr id="44" name="TextBox 43"/>
        <xdr:cNvSpPr txBox="1"/>
      </xdr:nvSpPr>
      <xdr:spPr>
        <a:xfrm>
          <a:off x="8438029" y="13794444"/>
          <a:ext cx="280147" cy="291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/>
            <a:t>N</a:t>
          </a:r>
          <a:endParaRPr lang="ko-KR" altLang="en-US" sz="1400" b="1"/>
        </a:p>
      </xdr:txBody>
    </xdr:sp>
    <xdr:clientData/>
  </xdr:twoCellAnchor>
  <xdr:twoCellAnchor>
    <xdr:from>
      <xdr:col>10</xdr:col>
      <xdr:colOff>156884</xdr:colOff>
      <xdr:row>72</xdr:row>
      <xdr:rowOff>145677</xdr:rowOff>
    </xdr:from>
    <xdr:to>
      <xdr:col>10</xdr:col>
      <xdr:colOff>470648</xdr:colOff>
      <xdr:row>74</xdr:row>
      <xdr:rowOff>112058</xdr:rowOff>
    </xdr:to>
    <xdr:sp macro="" textlink="">
      <xdr:nvSpPr>
        <xdr:cNvPr id="45" name="TextBox 44"/>
        <xdr:cNvSpPr txBox="1"/>
      </xdr:nvSpPr>
      <xdr:spPr>
        <a:xfrm>
          <a:off x="7261413" y="15475324"/>
          <a:ext cx="313764" cy="392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lang="en-US" altLang="ko-KR" sz="1400" b="1"/>
            <a:t>M</a:t>
          </a:r>
          <a:endParaRPr lang="ko-KR" altLang="en-US" sz="1400" b="1"/>
        </a:p>
      </xdr:txBody>
    </xdr:sp>
    <xdr:clientData/>
  </xdr:twoCellAnchor>
  <xdr:twoCellAnchor editAs="oneCell">
    <xdr:from>
      <xdr:col>23</xdr:col>
      <xdr:colOff>632108</xdr:colOff>
      <xdr:row>52</xdr:row>
      <xdr:rowOff>13607</xdr:rowOff>
    </xdr:from>
    <xdr:to>
      <xdr:col>26</xdr:col>
      <xdr:colOff>505796</xdr:colOff>
      <xdr:row>64</xdr:row>
      <xdr:rowOff>161418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07787" y="10627178"/>
          <a:ext cx="1982795" cy="2597097"/>
        </a:xfrm>
        <a:prstGeom prst="rect">
          <a:avLst/>
        </a:prstGeom>
      </xdr:spPr>
    </xdr:pic>
    <xdr:clientData/>
  </xdr:twoCellAnchor>
  <xdr:twoCellAnchor>
    <xdr:from>
      <xdr:col>21</xdr:col>
      <xdr:colOff>667871</xdr:colOff>
      <xdr:row>57</xdr:row>
      <xdr:rowOff>27534</xdr:rowOff>
    </xdr:from>
    <xdr:to>
      <xdr:col>25</xdr:col>
      <xdr:colOff>424542</xdr:colOff>
      <xdr:row>57</xdr:row>
      <xdr:rowOff>43543</xdr:rowOff>
    </xdr:to>
    <xdr:cxnSp macro="">
      <xdr:nvCxnSpPr>
        <xdr:cNvPr id="49" name="직선 화살표 연결선 48"/>
        <xdr:cNvCxnSpPr/>
      </xdr:nvCxnSpPr>
      <xdr:spPr>
        <a:xfrm>
          <a:off x="16615442" y="11661641"/>
          <a:ext cx="2845493" cy="1600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585107</xdr:colOff>
      <xdr:row>37</xdr:row>
      <xdr:rowOff>0</xdr:rowOff>
    </xdr:from>
    <xdr:to>
      <xdr:col>22</xdr:col>
      <xdr:colOff>649295</xdr:colOff>
      <xdr:row>49</xdr:row>
      <xdr:rowOff>147811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61821" y="7551964"/>
          <a:ext cx="1982795" cy="2597097"/>
        </a:xfrm>
        <a:prstGeom prst="rect">
          <a:avLst/>
        </a:prstGeom>
      </xdr:spPr>
    </xdr:pic>
    <xdr:clientData/>
  </xdr:twoCellAnchor>
  <xdr:twoCellAnchor>
    <xdr:from>
      <xdr:col>21</xdr:col>
      <xdr:colOff>653143</xdr:colOff>
      <xdr:row>42</xdr:row>
      <xdr:rowOff>40821</xdr:rowOff>
    </xdr:from>
    <xdr:to>
      <xdr:col>21</xdr:col>
      <xdr:colOff>707572</xdr:colOff>
      <xdr:row>57</xdr:row>
      <xdr:rowOff>40822</xdr:rowOff>
    </xdr:to>
    <xdr:cxnSp macro="">
      <xdr:nvCxnSpPr>
        <xdr:cNvPr id="51" name="직선 화살표 연결선 50"/>
        <xdr:cNvCxnSpPr/>
      </xdr:nvCxnSpPr>
      <xdr:spPr>
        <a:xfrm flipH="1" flipV="1">
          <a:off x="16600714" y="8613321"/>
          <a:ext cx="54429" cy="30616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112156</xdr:colOff>
      <xdr:row>76</xdr:row>
      <xdr:rowOff>54429</xdr:rowOff>
    </xdr:from>
    <xdr:to>
      <xdr:col>7</xdr:col>
      <xdr:colOff>376875</xdr:colOff>
      <xdr:row>99</xdr:row>
      <xdr:rowOff>136965</xdr:rowOff>
    </xdr:to>
    <xdr:grpSp>
      <xdr:nvGrpSpPr>
        <xdr:cNvPr id="64" name="그룹 63"/>
        <xdr:cNvGrpSpPr/>
      </xdr:nvGrpSpPr>
      <xdr:grpSpPr>
        <a:xfrm>
          <a:off x="1670792" y="16506702"/>
          <a:ext cx="4998356" cy="5061513"/>
          <a:chOff x="9906000" y="7143750"/>
          <a:chExt cx="5021035" cy="4777000"/>
        </a:xfrm>
      </xdr:grpSpPr>
      <xdr:pic>
        <xdr:nvPicPr>
          <xdr:cNvPr id="6" name="그림 5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324583" y="7566276"/>
            <a:ext cx="4371155" cy="177404"/>
          </a:xfrm>
          <a:prstGeom prst="rect">
            <a:avLst/>
          </a:prstGeom>
        </xdr:spPr>
      </xdr:pic>
      <xdr:pic>
        <xdr:nvPicPr>
          <xdr:cNvPr id="7" name="그림 6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308771" y="8183336"/>
            <a:ext cx="300544" cy="3692978"/>
          </a:xfrm>
          <a:prstGeom prst="rect">
            <a:avLst/>
          </a:prstGeom>
        </xdr:spPr>
      </xdr:pic>
      <xdr:pic>
        <xdr:nvPicPr>
          <xdr:cNvPr id="8" name="그림 7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258550" y="8990239"/>
            <a:ext cx="2677762" cy="1084299"/>
          </a:xfrm>
          <a:prstGeom prst="rect">
            <a:avLst/>
          </a:prstGeom>
        </xdr:spPr>
      </xdr:pic>
      <xdr:pic>
        <xdr:nvPicPr>
          <xdr:cNvPr id="54" name="그림 53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0314214" y="7143750"/>
            <a:ext cx="4612821" cy="198289"/>
          </a:xfrm>
          <a:prstGeom prst="rect">
            <a:avLst/>
          </a:prstGeom>
        </xdr:spPr>
      </xdr:pic>
      <xdr:pic>
        <xdr:nvPicPr>
          <xdr:cNvPr id="55" name="그림 54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06000" y="8177893"/>
            <a:ext cx="314286" cy="3742857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27215</xdr:colOff>
      <xdr:row>108</xdr:row>
      <xdr:rowOff>68037</xdr:rowOff>
    </xdr:from>
    <xdr:to>
      <xdr:col>16</xdr:col>
      <xdr:colOff>264667</xdr:colOff>
      <xdr:row>135</xdr:row>
      <xdr:rowOff>23811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72501" y="22111608"/>
          <a:ext cx="5380952" cy="5466667"/>
        </a:xfrm>
        <a:prstGeom prst="rect">
          <a:avLst/>
        </a:prstGeom>
      </xdr:spPr>
    </xdr:pic>
    <xdr:clientData/>
  </xdr:twoCellAnchor>
  <xdr:twoCellAnchor>
    <xdr:from>
      <xdr:col>10</xdr:col>
      <xdr:colOff>778328</xdr:colOff>
      <xdr:row>111</xdr:row>
      <xdr:rowOff>97973</xdr:rowOff>
    </xdr:from>
    <xdr:to>
      <xdr:col>15</xdr:col>
      <xdr:colOff>734786</xdr:colOff>
      <xdr:row>111</xdr:row>
      <xdr:rowOff>122464</xdr:rowOff>
    </xdr:to>
    <xdr:cxnSp macro="">
      <xdr:nvCxnSpPr>
        <xdr:cNvPr id="58" name="직선 화살표 연결선 57"/>
        <xdr:cNvCxnSpPr/>
      </xdr:nvCxnSpPr>
      <xdr:spPr>
        <a:xfrm>
          <a:off x="9323614" y="22753866"/>
          <a:ext cx="4283529" cy="2449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492579</xdr:colOff>
      <xdr:row>108</xdr:row>
      <xdr:rowOff>16330</xdr:rowOff>
    </xdr:from>
    <xdr:to>
      <xdr:col>23</xdr:col>
      <xdr:colOff>417067</xdr:colOff>
      <xdr:row>134</xdr:row>
      <xdr:rowOff>176211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215508" y="22059901"/>
          <a:ext cx="5380952" cy="5466667"/>
        </a:xfrm>
        <a:prstGeom prst="rect">
          <a:avLst/>
        </a:prstGeom>
      </xdr:spPr>
    </xdr:pic>
    <xdr:clientData/>
  </xdr:twoCellAnchor>
  <xdr:twoCellAnchor>
    <xdr:from>
      <xdr:col>18</xdr:col>
      <xdr:colOff>250371</xdr:colOff>
      <xdr:row>111</xdr:row>
      <xdr:rowOff>59873</xdr:rowOff>
    </xdr:from>
    <xdr:to>
      <xdr:col>23</xdr:col>
      <xdr:colOff>84364</xdr:colOff>
      <xdr:row>111</xdr:row>
      <xdr:rowOff>84364</xdr:rowOff>
    </xdr:to>
    <xdr:cxnSp macro="">
      <xdr:nvCxnSpPr>
        <xdr:cNvPr id="61" name="직선 화살표 연결선 60"/>
        <xdr:cNvCxnSpPr/>
      </xdr:nvCxnSpPr>
      <xdr:spPr>
        <a:xfrm>
          <a:off x="15980228" y="22715766"/>
          <a:ext cx="4283529" cy="2449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163285</xdr:colOff>
      <xdr:row>10</xdr:row>
      <xdr:rowOff>81643</xdr:rowOff>
    </xdr:from>
    <xdr:to>
      <xdr:col>8</xdr:col>
      <xdr:colOff>1170213</xdr:colOff>
      <xdr:row>14</xdr:row>
      <xdr:rowOff>27214</xdr:rowOff>
    </xdr:to>
    <xdr:sp macro="" textlink="">
      <xdr:nvSpPr>
        <xdr:cNvPr id="62" name="오른쪽 화살표 61"/>
        <xdr:cNvSpPr/>
      </xdr:nvSpPr>
      <xdr:spPr>
        <a:xfrm>
          <a:off x="8368392" y="2122714"/>
          <a:ext cx="1006928" cy="762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43543</xdr:colOff>
      <xdr:row>9</xdr:row>
      <xdr:rowOff>179614</xdr:rowOff>
    </xdr:from>
    <xdr:to>
      <xdr:col>16</xdr:col>
      <xdr:colOff>234043</xdr:colOff>
      <xdr:row>13</xdr:row>
      <xdr:rowOff>125185</xdr:rowOff>
    </xdr:to>
    <xdr:sp macro="" textlink="">
      <xdr:nvSpPr>
        <xdr:cNvPr id="63" name="오른쪽 화살표 62"/>
        <xdr:cNvSpPr/>
      </xdr:nvSpPr>
      <xdr:spPr>
        <a:xfrm>
          <a:off x="14671222" y="2016578"/>
          <a:ext cx="1006928" cy="762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62" workbookViewId="0">
      <selection activeCell="Q11" sqref="Q11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2:AB107"/>
  <sheetViews>
    <sheetView zoomScale="66" zoomScaleNormal="70" workbookViewId="0">
      <selection activeCell="I35" sqref="I35"/>
    </sheetView>
  </sheetViews>
  <sheetFormatPr defaultRowHeight="16.5" x14ac:dyDescent="0.3"/>
  <cols>
    <col min="2" max="2" width="11.375" bestFit="1" customWidth="1"/>
    <col min="3" max="3" width="12.375" bestFit="1" customWidth="1"/>
    <col min="4" max="4" width="13.125" bestFit="1" customWidth="1"/>
    <col min="5" max="5" width="11.375" bestFit="1" customWidth="1"/>
    <col min="6" max="6" width="12.25" bestFit="1" customWidth="1"/>
    <col min="7" max="7" width="13.125" bestFit="1" customWidth="1"/>
    <col min="8" max="8" width="24.875" bestFit="1" customWidth="1"/>
    <col min="9" max="9" width="18.5" customWidth="1"/>
    <col min="11" max="11" width="12.25" bestFit="1" customWidth="1"/>
    <col min="12" max="12" width="12.375" bestFit="1" customWidth="1"/>
    <col min="13" max="16" width="10.75" bestFit="1" customWidth="1"/>
    <col min="17" max="17" width="13.5" bestFit="1" customWidth="1"/>
    <col min="18" max="19" width="13.125" bestFit="1" customWidth="1"/>
    <col min="20" max="20" width="11" customWidth="1"/>
    <col min="21" max="21" width="11.5" customWidth="1"/>
    <col min="22" max="22" width="13.75" bestFit="1" customWidth="1"/>
    <col min="25" max="25" width="5.5" customWidth="1"/>
    <col min="26" max="26" width="13.125" bestFit="1" customWidth="1"/>
  </cols>
  <sheetData>
    <row r="22" spans="6:14" x14ac:dyDescent="0.3">
      <c r="K22" t="s">
        <v>64</v>
      </c>
      <c r="L22">
        <f>L107</f>
        <v>-282.452</v>
      </c>
      <c r="M22">
        <f>P107</f>
        <v>-194.18</v>
      </c>
      <c r="N22">
        <f>M22-L22</f>
        <v>88.271999999999991</v>
      </c>
    </row>
    <row r="23" spans="6:14" x14ac:dyDescent="0.3">
      <c r="K23" t="s">
        <v>64</v>
      </c>
      <c r="L23">
        <f>S107</f>
        <v>194.18</v>
      </c>
      <c r="M23">
        <f>W107</f>
        <v>282.452</v>
      </c>
      <c r="N23">
        <f>M23-L23</f>
        <v>88.271999999999991</v>
      </c>
    </row>
    <row r="27" spans="6:14" x14ac:dyDescent="0.3">
      <c r="F27" t="s">
        <v>31</v>
      </c>
      <c r="G27" s="5">
        <f>ABS(C73*2)</f>
        <v>886</v>
      </c>
      <c r="H27" t="s">
        <v>55</v>
      </c>
    </row>
    <row r="28" spans="6:14" x14ac:dyDescent="0.3">
      <c r="F28" t="s">
        <v>32</v>
      </c>
      <c r="G28" s="5">
        <f>ABS(C72*2)</f>
        <v>1467.92</v>
      </c>
      <c r="H28" t="s">
        <v>55</v>
      </c>
    </row>
    <row r="29" spans="6:14" x14ac:dyDescent="0.3">
      <c r="F29" t="s">
        <v>33</v>
      </c>
    </row>
    <row r="30" spans="6:14" x14ac:dyDescent="0.3">
      <c r="F30" t="s">
        <v>34</v>
      </c>
    </row>
    <row r="31" spans="6:14" x14ac:dyDescent="0.3">
      <c r="F31" t="s">
        <v>35</v>
      </c>
      <c r="G31" s="5">
        <f>C73-B73</f>
        <v>19.5</v>
      </c>
      <c r="H31" t="s">
        <v>56</v>
      </c>
    </row>
    <row r="32" spans="6:14" x14ac:dyDescent="0.3">
      <c r="F32" t="s">
        <v>36</v>
      </c>
      <c r="G32" s="5">
        <f>C72-B72</f>
        <v>16.039999999999964</v>
      </c>
      <c r="H32" t="s">
        <v>56</v>
      </c>
    </row>
    <row r="33" spans="6:24" x14ac:dyDescent="0.3">
      <c r="F33" t="s">
        <v>37</v>
      </c>
      <c r="G33" s="5">
        <f>G31</f>
        <v>19.5</v>
      </c>
    </row>
    <row r="34" spans="6:24" x14ac:dyDescent="0.3">
      <c r="F34" t="s">
        <v>38</v>
      </c>
      <c r="G34" s="5">
        <f>G32</f>
        <v>16.039999999999964</v>
      </c>
    </row>
    <row r="35" spans="6:24" x14ac:dyDescent="0.3">
      <c r="F35" t="s">
        <v>39</v>
      </c>
      <c r="G35" s="9">
        <f>E73-C73</f>
        <v>9.6379999999999768</v>
      </c>
    </row>
    <row r="36" spans="6:24" x14ac:dyDescent="0.3">
      <c r="F36" t="s">
        <v>40</v>
      </c>
      <c r="G36" s="9">
        <f>E72-C72</f>
        <v>35.566000000000031</v>
      </c>
      <c r="V36" s="2" t="s">
        <v>30</v>
      </c>
      <c r="W36" s="2">
        <v>-670.81200000000001</v>
      </c>
      <c r="X36" s="2">
        <v>-173.73599999999999</v>
      </c>
    </row>
    <row r="37" spans="6:24" x14ac:dyDescent="0.3">
      <c r="F37" t="s">
        <v>41</v>
      </c>
      <c r="G37" s="9">
        <f>G35</f>
        <v>9.6379999999999768</v>
      </c>
    </row>
    <row r="38" spans="6:24" x14ac:dyDescent="0.3">
      <c r="F38" t="s">
        <v>42</v>
      </c>
      <c r="G38" s="9">
        <f>G36</f>
        <v>35.566000000000031</v>
      </c>
    </row>
    <row r="39" spans="6:24" x14ac:dyDescent="0.3">
      <c r="F39" t="s">
        <v>23</v>
      </c>
      <c r="G39" s="8">
        <f>E73-F73</f>
        <v>4.6379999999999768</v>
      </c>
    </row>
    <row r="40" spans="6:24" x14ac:dyDescent="0.3">
      <c r="F40" t="s">
        <v>24</v>
      </c>
      <c r="G40" s="8">
        <f>E72-F72</f>
        <v>2.8740000000000236</v>
      </c>
    </row>
    <row r="41" spans="6:24" x14ac:dyDescent="0.3">
      <c r="F41" t="s">
        <v>43</v>
      </c>
      <c r="G41" s="8">
        <f>G39</f>
        <v>4.6379999999999768</v>
      </c>
    </row>
    <row r="42" spans="6:24" x14ac:dyDescent="0.3">
      <c r="F42" t="s">
        <v>44</v>
      </c>
      <c r="G42" s="8">
        <f>G40</f>
        <v>2.8740000000000236</v>
      </c>
    </row>
    <row r="43" spans="6:24" x14ac:dyDescent="0.3">
      <c r="F43" t="s">
        <v>45</v>
      </c>
      <c r="G43">
        <f>B81</f>
        <v>167.5504</v>
      </c>
      <c r="H43" t="s">
        <v>63</v>
      </c>
    </row>
    <row r="44" spans="6:24" x14ac:dyDescent="0.3">
      <c r="F44" t="s">
        <v>46</v>
      </c>
      <c r="G44">
        <f>B77</f>
        <v>75.212000000000003</v>
      </c>
      <c r="H44" t="s">
        <v>63</v>
      </c>
    </row>
    <row r="45" spans="6:24" x14ac:dyDescent="0.3">
      <c r="F45" t="s">
        <v>25</v>
      </c>
      <c r="G45" s="9">
        <f>G73-D73</f>
        <v>173.73599999999999</v>
      </c>
      <c r="H45" t="s">
        <v>61</v>
      </c>
    </row>
    <row r="46" spans="6:24" x14ac:dyDescent="0.3">
      <c r="F46" t="s">
        <v>47</v>
      </c>
      <c r="G46" s="9">
        <f>H72-D72</f>
        <v>77.672000000000025</v>
      </c>
      <c r="H46" t="s">
        <v>61</v>
      </c>
    </row>
    <row r="47" spans="6:24" x14ac:dyDescent="0.3">
      <c r="F47" t="s">
        <v>48</v>
      </c>
    </row>
    <row r="48" spans="6:24" x14ac:dyDescent="0.3">
      <c r="F48" t="s">
        <v>49</v>
      </c>
    </row>
    <row r="49" spans="6:28" x14ac:dyDescent="0.3">
      <c r="F49" t="s">
        <v>50</v>
      </c>
    </row>
    <row r="50" spans="6:28" x14ac:dyDescent="0.3">
      <c r="F50" t="s">
        <v>27</v>
      </c>
    </row>
    <row r="51" spans="6:28" x14ac:dyDescent="0.3">
      <c r="F51" t="s">
        <v>28</v>
      </c>
    </row>
    <row r="52" spans="6:28" x14ac:dyDescent="0.3">
      <c r="F52" t="s">
        <v>26</v>
      </c>
      <c r="G52" s="9">
        <f>D73-B73</f>
        <v>115.02800000000002</v>
      </c>
      <c r="H52" t="s">
        <v>60</v>
      </c>
      <c r="V52" s="2" t="s">
        <v>30</v>
      </c>
      <c r="W52" s="2">
        <v>-670.81200000000001</v>
      </c>
      <c r="X52" s="2">
        <v>-347.47199999999998</v>
      </c>
      <c r="Z52" s="2" t="s">
        <v>30</v>
      </c>
      <c r="AA52" s="2">
        <v>-593.14</v>
      </c>
      <c r="AB52" s="2">
        <v>-347.47199999999998</v>
      </c>
    </row>
    <row r="53" spans="6:28" x14ac:dyDescent="0.3">
      <c r="F53" t="s">
        <v>51</v>
      </c>
      <c r="G53" s="9">
        <f>D72-B72</f>
        <v>79.187999999999988</v>
      </c>
      <c r="H53" t="s">
        <v>60</v>
      </c>
    </row>
    <row r="54" spans="6:28" x14ac:dyDescent="0.3">
      <c r="F54" t="s">
        <v>52</v>
      </c>
      <c r="G54" s="9">
        <f>G52</f>
        <v>115.02800000000002</v>
      </c>
      <c r="H54" t="s">
        <v>60</v>
      </c>
    </row>
    <row r="55" spans="6:28" x14ac:dyDescent="0.3">
      <c r="F55" t="s">
        <v>53</v>
      </c>
      <c r="G55" s="9">
        <f>G53</f>
        <v>79.187999999999988</v>
      </c>
      <c r="H55" t="s">
        <v>60</v>
      </c>
    </row>
    <row r="56" spans="6:28" x14ac:dyDescent="0.3">
      <c r="F56" t="s">
        <v>54</v>
      </c>
    </row>
    <row r="57" spans="6:28" x14ac:dyDescent="0.3">
      <c r="F57" t="s">
        <v>21</v>
      </c>
      <c r="G57" s="9">
        <f>B83</f>
        <v>156.87039999999999</v>
      </c>
      <c r="H57" t="s">
        <v>62</v>
      </c>
    </row>
    <row r="58" spans="6:28" x14ac:dyDescent="0.3">
      <c r="F58" t="s">
        <v>22</v>
      </c>
      <c r="G58" s="9">
        <f>B79</f>
        <v>73.152000000000001</v>
      </c>
      <c r="H58" t="s">
        <v>62</v>
      </c>
    </row>
    <row r="60" spans="6:28" x14ac:dyDescent="0.3">
      <c r="M60" s="2" t="s">
        <v>57</v>
      </c>
      <c r="N60" s="2">
        <v>-698.39400000000001</v>
      </c>
      <c r="O60" s="2">
        <v>-433.36200000000002</v>
      </c>
    </row>
    <row r="71" spans="1:8" x14ac:dyDescent="0.3">
      <c r="B71" s="7" t="s">
        <v>59</v>
      </c>
      <c r="C71" s="7" t="s">
        <v>29</v>
      </c>
      <c r="D71" s="7" t="s">
        <v>30</v>
      </c>
      <c r="E71" s="7" t="s">
        <v>57</v>
      </c>
      <c r="F71" s="7" t="s">
        <v>58</v>
      </c>
      <c r="G71" s="7" t="s">
        <v>30</v>
      </c>
      <c r="H71" s="7" t="s">
        <v>30</v>
      </c>
    </row>
    <row r="72" spans="1:8" x14ac:dyDescent="0.3">
      <c r="A72" t="s">
        <v>27</v>
      </c>
      <c r="B72" s="6">
        <f>U97</f>
        <v>-750</v>
      </c>
      <c r="C72" s="6">
        <f>U91</f>
        <v>-733.96</v>
      </c>
      <c r="D72" s="6">
        <f>W52</f>
        <v>-670.81200000000001</v>
      </c>
      <c r="E72" s="6">
        <f>N60</f>
        <v>-698.39400000000001</v>
      </c>
      <c r="F72" s="6">
        <f>L88</f>
        <v>-701.26800000000003</v>
      </c>
      <c r="G72" s="2">
        <v>-670.81200000000001</v>
      </c>
      <c r="H72" s="2">
        <v>-593.14</v>
      </c>
    </row>
    <row r="73" spans="1:8" x14ac:dyDescent="0.3">
      <c r="A73" t="s">
        <v>28</v>
      </c>
      <c r="B73" s="6">
        <f>V97</f>
        <v>-462.5</v>
      </c>
      <c r="C73" s="6">
        <f>V91</f>
        <v>-443</v>
      </c>
      <c r="D73" s="6">
        <f>X52</f>
        <v>-347.47199999999998</v>
      </c>
      <c r="E73" s="6">
        <f>O60</f>
        <v>-433.36200000000002</v>
      </c>
      <c r="F73" s="6">
        <f>M88</f>
        <v>-438</v>
      </c>
      <c r="G73" s="2">
        <v>-173.73599999999999</v>
      </c>
      <c r="H73" s="2">
        <v>-347.47199999999998</v>
      </c>
    </row>
    <row r="77" spans="1:8" x14ac:dyDescent="0.3">
      <c r="A77" t="s">
        <v>46</v>
      </c>
      <c r="B77">
        <v>75.212000000000003</v>
      </c>
    </row>
    <row r="79" spans="1:8" x14ac:dyDescent="0.3">
      <c r="A79" t="s">
        <v>22</v>
      </c>
      <c r="B79">
        <v>73.152000000000001</v>
      </c>
    </row>
    <row r="81" spans="1:22" x14ac:dyDescent="0.3">
      <c r="A81" t="s">
        <v>45</v>
      </c>
      <c r="B81">
        <v>167.5504</v>
      </c>
    </row>
    <row r="83" spans="1:22" x14ac:dyDescent="0.3">
      <c r="A83" t="s">
        <v>21</v>
      </c>
      <c r="B83">
        <v>156.87039999999999</v>
      </c>
    </row>
    <row r="88" spans="1:22" x14ac:dyDescent="0.3">
      <c r="K88" s="2" t="s">
        <v>58</v>
      </c>
      <c r="L88" s="2">
        <v>-701.26800000000003</v>
      </c>
      <c r="M88" s="2">
        <v>-438</v>
      </c>
    </row>
    <row r="91" spans="1:22" x14ac:dyDescent="0.3">
      <c r="T91" s="2" t="s">
        <v>29</v>
      </c>
      <c r="U91" s="2">
        <v>-733.96</v>
      </c>
      <c r="V91" s="2">
        <v>-443</v>
      </c>
    </row>
    <row r="97" spans="11:23" x14ac:dyDescent="0.3">
      <c r="T97" s="2" t="s">
        <v>59</v>
      </c>
      <c r="U97" s="2">
        <v>-750</v>
      </c>
      <c r="V97" s="2">
        <v>-462.5</v>
      </c>
    </row>
    <row r="107" spans="11:23" x14ac:dyDescent="0.3">
      <c r="K107" s="2" t="s">
        <v>64</v>
      </c>
      <c r="L107" s="2">
        <v>-282.452</v>
      </c>
      <c r="M107" s="2"/>
      <c r="N107" s="2"/>
      <c r="O107" s="2"/>
      <c r="P107" s="2">
        <v>-194.18</v>
      </c>
      <c r="Q107" s="2"/>
      <c r="R107" s="2"/>
      <c r="S107" s="2">
        <v>194.18</v>
      </c>
      <c r="T107" s="2"/>
      <c r="U107" s="2"/>
      <c r="V107" s="2"/>
      <c r="W107" s="2">
        <v>282.452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"/>
  <sheetViews>
    <sheetView zoomScale="77" workbookViewId="0">
      <selection activeCell="P33" sqref="P33"/>
    </sheetView>
  </sheetViews>
  <sheetFormatPr defaultRowHeight="16.5" x14ac:dyDescent="0.3"/>
  <cols>
    <col min="3" max="3" width="13" bestFit="1" customWidth="1"/>
    <col min="4" max="4" width="15.875" customWidth="1"/>
    <col min="5" max="5" width="14.25" customWidth="1"/>
    <col min="9" max="10" width="9.875" bestFit="1" customWidth="1"/>
    <col min="11" max="11" width="9.125" bestFit="1" customWidth="1"/>
    <col min="12" max="13" width="10.625" bestFit="1" customWidth="1"/>
  </cols>
  <sheetData>
    <row r="1" spans="1:13" x14ac:dyDescent="0.3">
      <c r="C1" t="s">
        <v>6</v>
      </c>
      <c r="D1">
        <v>0</v>
      </c>
      <c r="E1" t="s">
        <v>6</v>
      </c>
    </row>
    <row r="2" spans="1:13" x14ac:dyDescent="0.3">
      <c r="A2">
        <v>1</v>
      </c>
      <c r="C2">
        <v>1500</v>
      </c>
      <c r="F2">
        <f>C2/2</f>
        <v>750</v>
      </c>
      <c r="G2">
        <f>F2+C9</f>
        <v>16.039999999999964</v>
      </c>
      <c r="H2">
        <v>63.154000000000003</v>
      </c>
      <c r="I2">
        <f>H2+G2</f>
        <v>79.19399999999996</v>
      </c>
    </row>
    <row r="3" spans="1:13" x14ac:dyDescent="0.3">
      <c r="A3">
        <v>2</v>
      </c>
      <c r="C3">
        <v>925</v>
      </c>
      <c r="F3">
        <f>C3/2</f>
        <v>462.5</v>
      </c>
      <c r="G3">
        <f>F3+C10</f>
        <v>19.5</v>
      </c>
      <c r="H3">
        <v>95.528000000000006</v>
      </c>
      <c r="I3">
        <f>H3+G3</f>
        <v>115.02800000000001</v>
      </c>
    </row>
    <row r="4" spans="1:13" x14ac:dyDescent="0.3">
      <c r="A4">
        <v>3</v>
      </c>
      <c r="C4">
        <v>73.152000000000001</v>
      </c>
      <c r="D4" t="s">
        <v>10</v>
      </c>
      <c r="E4" t="s">
        <v>9</v>
      </c>
    </row>
    <row r="5" spans="1:13" x14ac:dyDescent="0.3">
      <c r="A5">
        <v>4</v>
      </c>
      <c r="C5">
        <v>156.87039999999999</v>
      </c>
      <c r="D5" t="s">
        <v>9</v>
      </c>
      <c r="E5" t="s">
        <v>10</v>
      </c>
    </row>
    <row r="6" spans="1:13" x14ac:dyDescent="0.3">
      <c r="A6">
        <v>5</v>
      </c>
      <c r="C6">
        <v>5</v>
      </c>
    </row>
    <row r="7" spans="1:13" x14ac:dyDescent="0.3">
      <c r="A7">
        <v>6</v>
      </c>
      <c r="C7" t="s">
        <v>7</v>
      </c>
      <c r="H7">
        <v>254.73949999999999</v>
      </c>
    </row>
    <row r="8" spans="1:13" x14ac:dyDescent="0.3">
      <c r="A8">
        <v>7</v>
      </c>
      <c r="C8" t="s">
        <v>8</v>
      </c>
      <c r="H8">
        <v>80.980699999999999</v>
      </c>
    </row>
    <row r="9" spans="1:13" x14ac:dyDescent="0.3">
      <c r="A9">
        <v>8</v>
      </c>
      <c r="C9">
        <v>-733.96</v>
      </c>
      <c r="D9" t="s">
        <v>11</v>
      </c>
      <c r="E9" t="s">
        <v>12</v>
      </c>
      <c r="H9">
        <f>H7-H8</f>
        <v>173.75880000000001</v>
      </c>
      <c r="K9">
        <v>-670.81200000000001</v>
      </c>
      <c r="L9">
        <f>F2+K9</f>
        <v>79.187999999999988</v>
      </c>
      <c r="M9">
        <f>L9-G2</f>
        <v>63.148000000000025</v>
      </c>
    </row>
    <row r="10" spans="1:13" x14ac:dyDescent="0.3">
      <c r="A10">
        <v>9</v>
      </c>
      <c r="C10">
        <v>-443</v>
      </c>
      <c r="D10" t="s">
        <v>12</v>
      </c>
      <c r="E10" t="s">
        <v>11</v>
      </c>
      <c r="K10">
        <v>-347.47199999999998</v>
      </c>
      <c r="L10">
        <f>F3+K10</f>
        <v>115.02800000000002</v>
      </c>
      <c r="M10">
        <f>L10-G3</f>
        <v>95.52800000000002</v>
      </c>
    </row>
    <row r="11" spans="1:13" x14ac:dyDescent="0.3">
      <c r="A11">
        <v>10</v>
      </c>
      <c r="C11">
        <v>63.148000000000003</v>
      </c>
      <c r="D11" t="s">
        <v>16</v>
      </c>
      <c r="E11" t="s">
        <v>16</v>
      </c>
      <c r="F11">
        <f>C11+G2</f>
        <v>79.18799999999996</v>
      </c>
    </row>
    <row r="12" spans="1:13" x14ac:dyDescent="0.3">
      <c r="A12">
        <v>11</v>
      </c>
      <c r="C12">
        <v>95.528000000000006</v>
      </c>
      <c r="D12" t="s">
        <v>17</v>
      </c>
      <c r="E12" t="s">
        <v>17</v>
      </c>
      <c r="H12">
        <v>10.602499999999999</v>
      </c>
    </row>
    <row r="13" spans="1:13" x14ac:dyDescent="0.3">
      <c r="A13">
        <v>12</v>
      </c>
      <c r="C13">
        <v>77.671999999999997</v>
      </c>
      <c r="D13" t="s">
        <v>15</v>
      </c>
      <c r="E13" t="s">
        <v>14</v>
      </c>
      <c r="F13">
        <v>79.194000000000003</v>
      </c>
      <c r="G13">
        <f>F13-C13</f>
        <v>1.5220000000000056</v>
      </c>
      <c r="H13">
        <f>75</f>
        <v>75</v>
      </c>
    </row>
    <row r="14" spans="1:13" x14ac:dyDescent="0.3">
      <c r="A14">
        <v>13</v>
      </c>
      <c r="C14">
        <v>173.73599999999999</v>
      </c>
      <c r="D14" t="s">
        <v>14</v>
      </c>
      <c r="E14" t="s">
        <v>15</v>
      </c>
      <c r="F14">
        <f>C13+G2</f>
        <v>93.711999999999961</v>
      </c>
      <c r="H14">
        <f>H13+H12</f>
        <v>85.602499999999992</v>
      </c>
      <c r="L14">
        <f>L10-G3</f>
        <v>95.52800000000002</v>
      </c>
    </row>
    <row r="15" spans="1:13" x14ac:dyDescent="0.3">
      <c r="A15">
        <v>14</v>
      </c>
      <c r="C15">
        <v>1467.92</v>
      </c>
      <c r="D15" t="s">
        <v>13</v>
      </c>
      <c r="E15" t="s">
        <v>13</v>
      </c>
    </row>
    <row r="16" spans="1:13" x14ac:dyDescent="0.3">
      <c r="A16">
        <v>15</v>
      </c>
      <c r="C16">
        <v>20</v>
      </c>
      <c r="D16">
        <v>20</v>
      </c>
      <c r="E16">
        <v>20</v>
      </c>
    </row>
    <row r="19" spans="3:22" x14ac:dyDescent="0.3">
      <c r="C19" t="s">
        <v>18</v>
      </c>
      <c r="M19">
        <v>79.474999999999994</v>
      </c>
    </row>
    <row r="20" spans="3:22" x14ac:dyDescent="0.3">
      <c r="C20">
        <v>925</v>
      </c>
    </row>
    <row r="21" spans="3:22" x14ac:dyDescent="0.3">
      <c r="C21">
        <v>1500</v>
      </c>
      <c r="I21">
        <v>287.25979999999998</v>
      </c>
      <c r="J21">
        <v>113.52379999999999</v>
      </c>
      <c r="K21">
        <v>-60.212200000000003</v>
      </c>
      <c r="L21">
        <v>-233.94820000000001</v>
      </c>
      <c r="M21">
        <v>-407.68419999999998</v>
      </c>
      <c r="P21">
        <v>-670.81200000000001</v>
      </c>
    </row>
    <row r="22" spans="3:22" x14ac:dyDescent="0.3">
      <c r="C22">
        <v>64.260000000000005</v>
      </c>
      <c r="I22" s="1">
        <f>I21+$M$19</f>
        <v>366.73479999999995</v>
      </c>
      <c r="J22" s="1">
        <f t="shared" ref="J22:M22" si="0">J21+$M$19</f>
        <v>192.99879999999999</v>
      </c>
      <c r="K22" s="1">
        <f t="shared" si="0"/>
        <v>19.262799999999991</v>
      </c>
      <c r="L22" s="1">
        <f t="shared" si="0"/>
        <v>-154.47320000000002</v>
      </c>
      <c r="M22" s="1">
        <f t="shared" si="0"/>
        <v>-328.20920000000001</v>
      </c>
      <c r="P22">
        <v>-593.14</v>
      </c>
      <c r="Q22">
        <f>P21-P22</f>
        <v>-77.672000000000025</v>
      </c>
    </row>
    <row r="23" spans="3:22" x14ac:dyDescent="0.3">
      <c r="C23">
        <v>142.80000000000001</v>
      </c>
      <c r="J23">
        <f>I21-J21</f>
        <v>173.73599999999999</v>
      </c>
      <c r="K23">
        <f t="shared" ref="K23:M23" si="1">J21-K21</f>
        <v>173.73599999999999</v>
      </c>
      <c r="L23">
        <f t="shared" si="1"/>
        <v>173.73600000000002</v>
      </c>
      <c r="M23">
        <f t="shared" si="1"/>
        <v>173.73599999999996</v>
      </c>
      <c r="P23">
        <v>-515.46799999999996</v>
      </c>
      <c r="Q23">
        <f t="shared" ref="Q23:Q38" si="2">P22-P23</f>
        <v>-77.672000000000025</v>
      </c>
    </row>
    <row r="24" spans="3:22" x14ac:dyDescent="0.3">
      <c r="C24" t="s">
        <v>19</v>
      </c>
      <c r="P24">
        <v>-437.79599999999999</v>
      </c>
      <c r="Q24">
        <f t="shared" si="2"/>
        <v>-77.671999999999969</v>
      </c>
    </row>
    <row r="25" spans="3:22" x14ac:dyDescent="0.3">
      <c r="C25">
        <v>12</v>
      </c>
      <c r="P25">
        <v>-360.12400000000002</v>
      </c>
      <c r="Q25">
        <f t="shared" si="2"/>
        <v>-77.671999999999969</v>
      </c>
    </row>
    <row r="26" spans="3:22" x14ac:dyDescent="0.3">
      <c r="C26" t="s">
        <v>20</v>
      </c>
      <c r="P26">
        <v>-282.452</v>
      </c>
      <c r="Q26">
        <f t="shared" si="2"/>
        <v>-77.672000000000025</v>
      </c>
    </row>
    <row r="27" spans="3:22" x14ac:dyDescent="0.3">
      <c r="C27">
        <v>-443</v>
      </c>
      <c r="G27">
        <v>-733.96</v>
      </c>
      <c r="H27">
        <v>-670.81200000000001</v>
      </c>
      <c r="I27">
        <f>H27-G27</f>
        <v>63.148000000000025</v>
      </c>
      <c r="K27">
        <v>-593.14</v>
      </c>
      <c r="L27">
        <f>K27-H27</f>
        <v>77.672000000000025</v>
      </c>
      <c r="P27">
        <v>-194.18</v>
      </c>
      <c r="Q27">
        <f t="shared" si="2"/>
        <v>-88.271999999999991</v>
      </c>
      <c r="S27">
        <v>-194.19810000000001</v>
      </c>
      <c r="T27">
        <f>S27-P26</f>
        <v>88.253899999999987</v>
      </c>
    </row>
    <row r="28" spans="3:22" x14ac:dyDescent="0.3">
      <c r="C28">
        <v>-733.96</v>
      </c>
      <c r="G28">
        <v>-443</v>
      </c>
      <c r="H28">
        <v>-347.47199999999998</v>
      </c>
      <c r="I28">
        <f>H28-G28</f>
        <v>95.52800000000002</v>
      </c>
      <c r="P28">
        <v>-116.508</v>
      </c>
      <c r="Q28">
        <f t="shared" si="2"/>
        <v>-77.672000000000011</v>
      </c>
      <c r="S28">
        <v>-116.5127</v>
      </c>
      <c r="T28">
        <f>S28-S27</f>
        <v>77.685400000000016</v>
      </c>
    </row>
    <row r="29" spans="3:22" x14ac:dyDescent="0.3">
      <c r="C29">
        <v>52.741999999999997</v>
      </c>
      <c r="P29">
        <v>-38.835999999999999</v>
      </c>
      <c r="Q29">
        <f t="shared" si="2"/>
        <v>-77.671999999999997</v>
      </c>
      <c r="V29">
        <f>T27-U30</f>
        <v>88.253599999999977</v>
      </c>
    </row>
    <row r="30" spans="3:22" x14ac:dyDescent="0.3">
      <c r="C30">
        <v>94.868499999999997</v>
      </c>
      <c r="H30">
        <v>-173.8409</v>
      </c>
      <c r="I30">
        <f>H30-H28</f>
        <v>173.63109999999998</v>
      </c>
      <c r="P30">
        <v>38.835999999999999</v>
      </c>
      <c r="Q30">
        <f t="shared" si="2"/>
        <v>-77.671999999999997</v>
      </c>
      <c r="S30">
        <v>38.836300000000001</v>
      </c>
      <c r="T30">
        <f>S30*2</f>
        <v>77.672600000000003</v>
      </c>
      <c r="U30">
        <f>P29+S30</f>
        <v>3.0000000000285354E-4</v>
      </c>
    </row>
    <row r="31" spans="3:22" x14ac:dyDescent="0.3">
      <c r="C31">
        <v>70.956000000000003</v>
      </c>
      <c r="P31">
        <v>116.508</v>
      </c>
      <c r="Q31">
        <f t="shared" si="2"/>
        <v>-77.671999999999997</v>
      </c>
    </row>
    <row r="32" spans="3:22" x14ac:dyDescent="0.3">
      <c r="C32">
        <v>155.8305</v>
      </c>
      <c r="P32">
        <v>194.18</v>
      </c>
      <c r="Q32">
        <f t="shared" si="2"/>
        <v>-77.672000000000011</v>
      </c>
    </row>
    <row r="33" spans="3:17" x14ac:dyDescent="0.3">
      <c r="C33">
        <v>886</v>
      </c>
      <c r="I33">
        <v>256.94400000000002</v>
      </c>
      <c r="J33">
        <v>83.207999999999998</v>
      </c>
      <c r="K33">
        <v>-90.528000000000006</v>
      </c>
      <c r="L33">
        <v>-264.26400000000001</v>
      </c>
      <c r="M33">
        <v>-438</v>
      </c>
      <c r="P33">
        <v>282.452</v>
      </c>
      <c r="Q33">
        <f t="shared" si="2"/>
        <v>-88.271999999999991</v>
      </c>
    </row>
    <row r="34" spans="3:17" x14ac:dyDescent="0.3">
      <c r="C34">
        <v>20</v>
      </c>
      <c r="P34">
        <v>360.12400000000002</v>
      </c>
      <c r="Q34">
        <f t="shared" si="2"/>
        <v>-77.672000000000025</v>
      </c>
    </row>
    <row r="35" spans="3:17" x14ac:dyDescent="0.3">
      <c r="P35">
        <v>437.79599999999999</v>
      </c>
      <c r="Q35">
        <f t="shared" si="2"/>
        <v>-77.671999999999969</v>
      </c>
    </row>
    <row r="36" spans="3:17" x14ac:dyDescent="0.3">
      <c r="P36">
        <v>515.46799999999996</v>
      </c>
      <c r="Q36">
        <f t="shared" si="2"/>
        <v>-77.671999999999969</v>
      </c>
    </row>
    <row r="37" spans="3:17" x14ac:dyDescent="0.3">
      <c r="I37">
        <v>347.47199999999998</v>
      </c>
      <c r="J37">
        <v>173.73599999999999</v>
      </c>
      <c r="K37">
        <v>0</v>
      </c>
      <c r="L37">
        <v>-173.73599999999999</v>
      </c>
      <c r="M37">
        <v>-347.47199999999998</v>
      </c>
      <c r="P37">
        <v>593.14</v>
      </c>
      <c r="Q37">
        <f t="shared" si="2"/>
        <v>-77.672000000000025</v>
      </c>
    </row>
    <row r="38" spans="3:17" x14ac:dyDescent="0.3">
      <c r="I38" s="3">
        <f t="shared" ref="I38:L38" si="3">I37-$H$56</f>
        <v>256.94399999999996</v>
      </c>
      <c r="J38" s="3">
        <f t="shared" si="3"/>
        <v>83.207999999999984</v>
      </c>
      <c r="K38" s="3">
        <f t="shared" si="3"/>
        <v>-90.528000000000006</v>
      </c>
      <c r="L38" s="3">
        <f t="shared" si="3"/>
        <v>-264.26400000000001</v>
      </c>
      <c r="M38" s="3">
        <f>M37-$H$56</f>
        <v>-438</v>
      </c>
      <c r="P38">
        <v>670.81200000000001</v>
      </c>
      <c r="Q38">
        <f t="shared" si="2"/>
        <v>-77.672000000000025</v>
      </c>
    </row>
    <row r="39" spans="3:17" x14ac:dyDescent="0.3">
      <c r="J39">
        <f>I37-J37</f>
        <v>173.73599999999999</v>
      </c>
      <c r="K39">
        <f t="shared" ref="K39:M39" si="4">J37-K37</f>
        <v>173.73599999999999</v>
      </c>
      <c r="L39">
        <f t="shared" si="4"/>
        <v>173.73599999999999</v>
      </c>
      <c r="M39">
        <f t="shared" si="4"/>
        <v>173.73599999999999</v>
      </c>
    </row>
    <row r="41" spans="3:17" x14ac:dyDescent="0.3">
      <c r="M41">
        <v>-438</v>
      </c>
    </row>
    <row r="42" spans="3:17" x14ac:dyDescent="0.3">
      <c r="M42">
        <f>M37-M41</f>
        <v>90.52800000000002</v>
      </c>
    </row>
    <row r="45" spans="3:17" x14ac:dyDescent="0.3">
      <c r="G45">
        <v>-733.96</v>
      </c>
      <c r="H45">
        <v>-698.39400000000001</v>
      </c>
      <c r="J45">
        <v>-701.26800000000003</v>
      </c>
    </row>
    <row r="46" spans="3:17" x14ac:dyDescent="0.3">
      <c r="G46">
        <v>-443</v>
      </c>
      <c r="H46">
        <v>-433.3621</v>
      </c>
      <c r="J46">
        <v>-438</v>
      </c>
      <c r="M46">
        <f>M37-J46</f>
        <v>90.52800000000002</v>
      </c>
    </row>
    <row r="48" spans="3:17" x14ac:dyDescent="0.3">
      <c r="G48" t="s">
        <v>1</v>
      </c>
      <c r="H48">
        <f>H45-G45</f>
        <v>35.566000000000031</v>
      </c>
      <c r="I48" t="s">
        <v>3</v>
      </c>
      <c r="J48">
        <f>H45-J45</f>
        <v>2.8740000000000236</v>
      </c>
    </row>
    <row r="49" spans="7:11" x14ac:dyDescent="0.3">
      <c r="G49" t="s">
        <v>0</v>
      </c>
      <c r="H49">
        <f>H46-G46</f>
        <v>9.6379000000000019</v>
      </c>
      <c r="I49" t="s">
        <v>2</v>
      </c>
      <c r="J49">
        <f>H46-J46</f>
        <v>4.6379000000000019</v>
      </c>
    </row>
    <row r="51" spans="7:11" x14ac:dyDescent="0.3">
      <c r="G51" t="s">
        <v>5</v>
      </c>
      <c r="H51">
        <v>63.154000000000003</v>
      </c>
    </row>
    <row r="52" spans="7:11" x14ac:dyDescent="0.3">
      <c r="G52" t="s">
        <v>4</v>
      </c>
      <c r="H52">
        <v>95.528000000000006</v>
      </c>
    </row>
    <row r="56" spans="7:11" x14ac:dyDescent="0.3">
      <c r="H56" s="2">
        <f>H52-0-H49+J49</f>
        <v>90.528000000000006</v>
      </c>
      <c r="I56">
        <f>M37-H56</f>
        <v>-438</v>
      </c>
    </row>
    <row r="64" spans="7:11" x14ac:dyDescent="0.3">
      <c r="G64">
        <v>264.95999999999998</v>
      </c>
      <c r="H64">
        <v>91.67</v>
      </c>
      <c r="I64">
        <v>-81.62</v>
      </c>
      <c r="J64">
        <v>-254.91</v>
      </c>
      <c r="K64">
        <v>-428.2</v>
      </c>
    </row>
    <row r="65" spans="8:12" x14ac:dyDescent="0.3">
      <c r="H65">
        <f>H64-G64</f>
        <v>-173.28999999999996</v>
      </c>
    </row>
    <row r="69" spans="8:12" x14ac:dyDescent="0.3">
      <c r="H69" s="4">
        <v>54.212000000000003</v>
      </c>
      <c r="I69">
        <f>H69/2</f>
        <v>27.106000000000002</v>
      </c>
      <c r="J69">
        <v>10.5</v>
      </c>
      <c r="K69">
        <f>J69/2</f>
        <v>5.25</v>
      </c>
      <c r="L69">
        <f>I69+K69</f>
        <v>32.356000000000002</v>
      </c>
    </row>
    <row r="75" spans="8:12" x14ac:dyDescent="0.3">
      <c r="H75">
        <v>-30.456199999999999</v>
      </c>
    </row>
    <row r="76" spans="8:12" x14ac:dyDescent="0.3">
      <c r="H76">
        <v>-90.535799999999995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모델 생성 순서</vt:lpstr>
      <vt:lpstr>9Q3_R01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J0002955</dc:creator>
  <cp:lastModifiedBy>J0002955</cp:lastModifiedBy>
  <dcterms:created xsi:type="dcterms:W3CDTF">2022-12-19T08:21:15Z</dcterms:created>
  <dcterms:modified xsi:type="dcterms:W3CDTF">2022-12-20T05:00:27Z</dcterms:modified>
</cp:coreProperties>
</file>