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1808096\Desktop\분판셀\"/>
    </mc:Choice>
  </mc:AlternateContent>
  <bookViews>
    <workbookView xWindow="0" yWindow="0" windowWidth="28800" windowHeight="12540" firstSheet="89" activeTab="98"/>
  </bookViews>
  <sheets>
    <sheet name="20220419" sheetId="11" r:id="rId1"/>
    <sheet name="20220420" sheetId="9" r:id="rId2"/>
    <sheet name="20220421" sheetId="12" r:id="rId3"/>
    <sheet name="20220422" sheetId="13" r:id="rId4"/>
    <sheet name="20220425" sheetId="14" r:id="rId5"/>
    <sheet name="20220426" sheetId="15" r:id="rId6"/>
    <sheet name="20220428" sheetId="16" r:id="rId7"/>
    <sheet name="20220429" sheetId="17" r:id="rId8"/>
    <sheet name="20220502" sheetId="18" r:id="rId9"/>
    <sheet name="20220503" sheetId="19" r:id="rId10"/>
    <sheet name="20220504" sheetId="20" r:id="rId11"/>
    <sheet name="20220506" sheetId="21" r:id="rId12"/>
    <sheet name="20220509" sheetId="22" r:id="rId13"/>
    <sheet name="20220510" sheetId="23" r:id="rId14"/>
    <sheet name="20220511" sheetId="24" r:id="rId15"/>
    <sheet name="20220512" sheetId="25" r:id="rId16"/>
    <sheet name="20220513" sheetId="26" r:id="rId17"/>
    <sheet name="20220516" sheetId="27" r:id="rId18"/>
    <sheet name="20220517" sheetId="28" r:id="rId19"/>
    <sheet name="20220518" sheetId="29" r:id="rId20"/>
    <sheet name="20220519" sheetId="30" r:id="rId21"/>
    <sheet name="20220520" sheetId="31" r:id="rId22"/>
    <sheet name="20220523" sheetId="32" r:id="rId23"/>
    <sheet name="20220524" sheetId="33" r:id="rId24"/>
    <sheet name="20220525" sheetId="34" r:id="rId25"/>
    <sheet name="20220526" sheetId="35" r:id="rId26"/>
    <sheet name="20220527" sheetId="36" r:id="rId27"/>
    <sheet name="20220530" sheetId="37" r:id="rId28"/>
    <sheet name="20220531" sheetId="38" r:id="rId29"/>
    <sheet name="20220602" sheetId="39" r:id="rId30"/>
    <sheet name="20220603" sheetId="40" r:id="rId31"/>
    <sheet name="20220606" sheetId="41" r:id="rId32"/>
    <sheet name="20220607" sheetId="42" r:id="rId33"/>
    <sheet name="20220608" sheetId="43" r:id="rId34"/>
    <sheet name="20220609" sheetId="44" r:id="rId35"/>
    <sheet name="20220610" sheetId="45" r:id="rId36"/>
    <sheet name="20220613" sheetId="46" r:id="rId37"/>
    <sheet name="20220614" sheetId="48" r:id="rId38"/>
    <sheet name="20220615" sheetId="49" r:id="rId39"/>
    <sheet name="20220616" sheetId="50" r:id="rId40"/>
    <sheet name="20220617" sheetId="51" r:id="rId41"/>
    <sheet name="20220620" sheetId="52" r:id="rId42"/>
    <sheet name="20220621)" sheetId="53" r:id="rId43"/>
    <sheet name="20220622" sheetId="54" r:id="rId44"/>
    <sheet name="20220623" sheetId="55" r:id="rId45"/>
    <sheet name="20220624" sheetId="56" r:id="rId46"/>
    <sheet name="20220627" sheetId="57" r:id="rId47"/>
    <sheet name="20220628" sheetId="58" r:id="rId48"/>
    <sheet name="20220705" sheetId="59" r:id="rId49"/>
    <sheet name="20220711" sheetId="60" r:id="rId50"/>
    <sheet name="20220712" sheetId="61" r:id="rId51"/>
    <sheet name="20220713" sheetId="62" r:id="rId52"/>
    <sheet name="20220715" sheetId="63" r:id="rId53"/>
    <sheet name="20220725" sheetId="64" r:id="rId54"/>
    <sheet name="20220726" sheetId="65" r:id="rId55"/>
    <sheet name="20220727" sheetId="67" r:id="rId56"/>
    <sheet name="20220728" sheetId="68" r:id="rId57"/>
    <sheet name="20220801" sheetId="69" r:id="rId58"/>
    <sheet name="20220802" sheetId="70" r:id="rId59"/>
    <sheet name="20220803" sheetId="71" r:id="rId60"/>
    <sheet name="20220804" sheetId="72" r:id="rId61"/>
    <sheet name="20220805" sheetId="73" r:id="rId62"/>
    <sheet name="20220808" sheetId="74" r:id="rId63"/>
    <sheet name="20220809" sheetId="75" r:id="rId64"/>
    <sheet name="20220810" sheetId="76" r:id="rId65"/>
    <sheet name="20220811" sheetId="66" r:id="rId66"/>
    <sheet name="20220816" sheetId="77" r:id="rId67"/>
    <sheet name="20220817" sheetId="78" r:id="rId68"/>
    <sheet name="20220818" sheetId="79" r:id="rId69"/>
    <sheet name="20220819" sheetId="80" r:id="rId70"/>
    <sheet name="20220822" sheetId="81" r:id="rId71"/>
    <sheet name="20220823" sheetId="82" r:id="rId72"/>
    <sheet name="20220825" sheetId="83" r:id="rId73"/>
    <sheet name="20220826" sheetId="85" r:id="rId74"/>
    <sheet name="20220829" sheetId="84" r:id="rId75"/>
    <sheet name="20220830" sheetId="86" r:id="rId76"/>
    <sheet name="20220901" sheetId="87" r:id="rId77"/>
    <sheet name="20220902" sheetId="88" r:id="rId78"/>
    <sheet name="20220905" sheetId="89" r:id="rId79"/>
    <sheet name="20220906" sheetId="90" r:id="rId80"/>
    <sheet name="20220907" sheetId="91" r:id="rId81"/>
    <sheet name="20220913" sheetId="92" r:id="rId82"/>
    <sheet name="20220914" sheetId="93" r:id="rId83"/>
    <sheet name="20220915" sheetId="94" r:id="rId84"/>
    <sheet name="20220916" sheetId="95" r:id="rId85"/>
    <sheet name="20220917" sheetId="96" r:id="rId86"/>
    <sheet name="20220919" sheetId="97" r:id="rId87"/>
    <sheet name="20220920" sheetId="98" r:id="rId88"/>
    <sheet name="20220921" sheetId="99" r:id="rId89"/>
    <sheet name="20220922" sheetId="100" r:id="rId90"/>
    <sheet name="20220923" sheetId="101" r:id="rId91"/>
    <sheet name="20220926" sheetId="102" r:id="rId92"/>
    <sheet name="20220927" sheetId="103" r:id="rId93"/>
    <sheet name="20220928" sheetId="104" r:id="rId94"/>
    <sheet name="20220929" sheetId="105" r:id="rId95"/>
    <sheet name="20220930" sheetId="106" r:id="rId96"/>
    <sheet name="20221004" sheetId="107" r:id="rId97"/>
    <sheet name="20221005" sheetId="108" r:id="rId98"/>
    <sheet name="20221006" sheetId="109" r:id="rId99"/>
    <sheet name="Sheet1" sheetId="47" r:id="rId10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09" l="1"/>
  <c r="I14" i="109"/>
  <c r="AA13" i="109"/>
  <c r="E15" i="109" s="1"/>
  <c r="G13" i="109"/>
  <c r="G14" i="109" s="1"/>
  <c r="G15" i="109" s="1"/>
  <c r="G16" i="109" s="1"/>
  <c r="F13" i="109"/>
  <c r="F14" i="109" s="1"/>
  <c r="F15" i="109" s="1"/>
  <c r="F16" i="109" s="1"/>
  <c r="E13" i="109"/>
  <c r="Q14" i="108"/>
  <c r="Q15" i="108" s="1"/>
  <c r="Q16" i="108" s="1"/>
  <c r="I14" i="108"/>
  <c r="AA13" i="108"/>
  <c r="E15" i="108" s="1"/>
  <c r="G13" i="108"/>
  <c r="G14" i="108" s="1"/>
  <c r="G15" i="108" s="1"/>
  <c r="G16" i="108" s="1"/>
  <c r="F13" i="108"/>
  <c r="F14" i="108" s="1"/>
  <c r="F15" i="108" s="1"/>
  <c r="F16" i="108" s="1"/>
  <c r="E13" i="108"/>
  <c r="I15" i="109" l="1"/>
  <c r="I16" i="109" s="1"/>
  <c r="Q15" i="109"/>
  <c r="Q16" i="109" s="1"/>
  <c r="H13" i="109"/>
  <c r="I15" i="108"/>
  <c r="I16" i="108" s="1"/>
  <c r="H13" i="108"/>
  <c r="Q14" i="107"/>
  <c r="Q15" i="107" s="1"/>
  <c r="Q16" i="107" s="1"/>
  <c r="I14" i="107"/>
  <c r="I15" i="107" s="1"/>
  <c r="I16" i="107" s="1"/>
  <c r="AA13" i="107"/>
  <c r="E15" i="107" s="1"/>
  <c r="F13" i="107"/>
  <c r="F14" i="107" s="1"/>
  <c r="F15" i="107" s="1"/>
  <c r="F16" i="107" s="1"/>
  <c r="E13" i="107"/>
  <c r="E15" i="106"/>
  <c r="Q14" i="106"/>
  <c r="Q15" i="106" s="1"/>
  <c r="Q16" i="106" s="1"/>
  <c r="I14" i="106"/>
  <c r="I15" i="106" s="1"/>
  <c r="I16" i="106" s="1"/>
  <c r="AA13" i="106"/>
  <c r="G13" i="106"/>
  <c r="G14" i="106" s="1"/>
  <c r="G15" i="106" s="1"/>
  <c r="G16" i="106" s="1"/>
  <c r="F13" i="106"/>
  <c r="F14" i="106" s="1"/>
  <c r="F15" i="106" s="1"/>
  <c r="F16" i="106" s="1"/>
  <c r="E13" i="106"/>
  <c r="Q14" i="105"/>
  <c r="I14" i="105"/>
  <c r="AA13" i="105"/>
  <c r="E15" i="105" s="1"/>
  <c r="G13" i="105"/>
  <c r="G14" i="105" s="1"/>
  <c r="G15" i="105" s="1"/>
  <c r="G16" i="105" s="1"/>
  <c r="F13" i="105"/>
  <c r="F14" i="105" s="1"/>
  <c r="F15" i="105" s="1"/>
  <c r="F16" i="105" s="1"/>
  <c r="E13" i="105"/>
  <c r="Q14" i="104"/>
  <c r="I14" i="104"/>
  <c r="AA13" i="104"/>
  <c r="E15" i="104" s="1"/>
  <c r="G13" i="104"/>
  <c r="H13" i="104" s="1"/>
  <c r="F13" i="104"/>
  <c r="F14" i="104" s="1"/>
  <c r="E13" i="104"/>
  <c r="Q14" i="103"/>
  <c r="I14" i="103"/>
  <c r="AA13" i="103"/>
  <c r="E15" i="103" s="1"/>
  <c r="F13" i="103"/>
  <c r="F14" i="103" s="1"/>
  <c r="F15" i="103" s="1"/>
  <c r="F16" i="103" s="1"/>
  <c r="E13" i="103"/>
  <c r="H14" i="109" l="1"/>
  <c r="H15" i="109" s="1"/>
  <c r="H16" i="109" s="1"/>
  <c r="I13" i="109"/>
  <c r="J13" i="109" s="1"/>
  <c r="H14" i="108"/>
  <c r="H15" i="108" s="1"/>
  <c r="H16" i="108" s="1"/>
  <c r="I13" i="108"/>
  <c r="J13" i="108" s="1"/>
  <c r="G13" i="107"/>
  <c r="H13" i="106"/>
  <c r="I15" i="105"/>
  <c r="I16" i="105" s="1"/>
  <c r="Q15" i="105"/>
  <c r="Q16" i="105" s="1"/>
  <c r="H13" i="105"/>
  <c r="I15" i="104"/>
  <c r="I16" i="104" s="1"/>
  <c r="H14" i="104"/>
  <c r="H15" i="104" s="1"/>
  <c r="H16" i="104" s="1"/>
  <c r="I13" i="104"/>
  <c r="J13" i="104" s="1"/>
  <c r="Q15" i="104"/>
  <c r="Q16" i="104" s="1"/>
  <c r="F15" i="104"/>
  <c r="F16" i="104" s="1"/>
  <c r="G14" i="104"/>
  <c r="G15" i="104" s="1"/>
  <c r="G16" i="104" s="1"/>
  <c r="I15" i="103"/>
  <c r="I16" i="103" s="1"/>
  <c r="Q15" i="103"/>
  <c r="Q16" i="103" s="1"/>
  <c r="G13" i="103"/>
  <c r="Q14" i="102"/>
  <c r="I14" i="102"/>
  <c r="AA13" i="102"/>
  <c r="E13" i="102" s="1"/>
  <c r="G13" i="102"/>
  <c r="G14" i="102" s="1"/>
  <c r="F13" i="102"/>
  <c r="F14" i="102" s="1"/>
  <c r="E15" i="101"/>
  <c r="Q14" i="101"/>
  <c r="Q15" i="101" s="1"/>
  <c r="Q16" i="101" s="1"/>
  <c r="I14" i="101"/>
  <c r="I15" i="101" s="1"/>
  <c r="I16" i="101" s="1"/>
  <c r="AA13" i="101"/>
  <c r="F13" i="101"/>
  <c r="F14" i="101" s="1"/>
  <c r="F15" i="101" s="1"/>
  <c r="F16" i="101" s="1"/>
  <c r="E13" i="101"/>
  <c r="E15" i="100"/>
  <c r="Q14" i="100"/>
  <c r="Q15" i="100" s="1"/>
  <c r="Q16" i="100" s="1"/>
  <c r="I14" i="100"/>
  <c r="I15" i="100" s="1"/>
  <c r="I16" i="100" s="1"/>
  <c r="AA13" i="100"/>
  <c r="G13" i="100"/>
  <c r="G14" i="100" s="1"/>
  <c r="G15" i="100" s="1"/>
  <c r="G16" i="100" s="1"/>
  <c r="F13" i="100"/>
  <c r="F14" i="100" s="1"/>
  <c r="F15" i="100" s="1"/>
  <c r="F16" i="100" s="1"/>
  <c r="E13" i="100"/>
  <c r="K13" i="109" l="1"/>
  <c r="J14" i="109"/>
  <c r="J15" i="109" s="1"/>
  <c r="J16" i="109" s="1"/>
  <c r="K13" i="108"/>
  <c r="J14" i="108"/>
  <c r="J15" i="108" s="1"/>
  <c r="J16" i="108" s="1"/>
  <c r="G14" i="107"/>
  <c r="G15" i="107" s="1"/>
  <c r="G16" i="107" s="1"/>
  <c r="H13" i="107"/>
  <c r="H14" i="106"/>
  <c r="H15" i="106" s="1"/>
  <c r="H16" i="106" s="1"/>
  <c r="I13" i="106"/>
  <c r="J13" i="106" s="1"/>
  <c r="H14" i="105"/>
  <c r="H15" i="105" s="1"/>
  <c r="H16" i="105" s="1"/>
  <c r="I13" i="105"/>
  <c r="J13" i="105" s="1"/>
  <c r="K13" i="104"/>
  <c r="J14" i="104"/>
  <c r="J15" i="104" s="1"/>
  <c r="J16" i="104" s="1"/>
  <c r="G14" i="103"/>
  <c r="G15" i="103" s="1"/>
  <c r="G16" i="103" s="1"/>
  <c r="H13" i="103"/>
  <c r="E15" i="102"/>
  <c r="F15" i="102" s="1"/>
  <c r="F16" i="102" s="1"/>
  <c r="H13" i="102"/>
  <c r="G13" i="101"/>
  <c r="H13" i="100"/>
  <c r="E15" i="99"/>
  <c r="Q14" i="99"/>
  <c r="Q15" i="99" s="1"/>
  <c r="Q16" i="99" s="1"/>
  <c r="I14" i="99"/>
  <c r="I15" i="99" s="1"/>
  <c r="I16" i="99" s="1"/>
  <c r="AA13" i="99"/>
  <c r="F13" i="99"/>
  <c r="F14" i="99" s="1"/>
  <c r="F15" i="99" s="1"/>
  <c r="F16" i="99" s="1"/>
  <c r="E13" i="99"/>
  <c r="K14" i="109" l="1"/>
  <c r="K15" i="109" s="1"/>
  <c r="K16" i="109" s="1"/>
  <c r="L13" i="109"/>
  <c r="K14" i="108"/>
  <c r="K15" i="108" s="1"/>
  <c r="K16" i="108" s="1"/>
  <c r="L13" i="108"/>
  <c r="I13" i="107"/>
  <c r="J13" i="107" s="1"/>
  <c r="H14" i="107"/>
  <c r="H15" i="107" s="1"/>
  <c r="H16" i="107" s="1"/>
  <c r="K13" i="106"/>
  <c r="J14" i="106"/>
  <c r="J15" i="106" s="1"/>
  <c r="J16" i="106" s="1"/>
  <c r="K13" i="105"/>
  <c r="J14" i="105"/>
  <c r="J15" i="105" s="1"/>
  <c r="J16" i="105" s="1"/>
  <c r="K14" i="104"/>
  <c r="K15" i="104" s="1"/>
  <c r="K16" i="104" s="1"/>
  <c r="L13" i="104"/>
  <c r="H14" i="103"/>
  <c r="H15" i="103" s="1"/>
  <c r="H16" i="103" s="1"/>
  <c r="I13" i="103"/>
  <c r="J13" i="103" s="1"/>
  <c r="H14" i="102"/>
  <c r="H15" i="102" s="1"/>
  <c r="H16" i="102" s="1"/>
  <c r="I13" i="102"/>
  <c r="J13" i="102" s="1"/>
  <c r="Q15" i="102"/>
  <c r="Q16" i="102" s="1"/>
  <c r="I15" i="102"/>
  <c r="I16" i="102" s="1"/>
  <c r="G15" i="102"/>
  <c r="G16" i="102" s="1"/>
  <c r="G14" i="101"/>
  <c r="G15" i="101" s="1"/>
  <c r="G16" i="101" s="1"/>
  <c r="H13" i="101"/>
  <c r="H14" i="100"/>
  <c r="H15" i="100" s="1"/>
  <c r="H16" i="100" s="1"/>
  <c r="I13" i="100"/>
  <c r="J13" i="100" s="1"/>
  <c r="G13" i="99"/>
  <c r="Q14" i="98"/>
  <c r="Q15" i="98" s="1"/>
  <c r="Q16" i="98" s="1"/>
  <c r="I14" i="98"/>
  <c r="AA13" i="98"/>
  <c r="E15" i="98" s="1"/>
  <c r="I15" i="98" s="1"/>
  <c r="I16" i="98" s="1"/>
  <c r="F13" i="98"/>
  <c r="F14" i="98" s="1"/>
  <c r="F15" i="98" s="1"/>
  <c r="F16" i="98" s="1"/>
  <c r="E13" i="98"/>
  <c r="M13" i="109" l="1"/>
  <c r="L14" i="109"/>
  <c r="L15" i="109" s="1"/>
  <c r="L16" i="109" s="1"/>
  <c r="M13" i="108"/>
  <c r="L14" i="108"/>
  <c r="L15" i="108" s="1"/>
  <c r="L16" i="108" s="1"/>
  <c r="K13" i="107"/>
  <c r="J14" i="107"/>
  <c r="J15" i="107" s="1"/>
  <c r="J16" i="107" s="1"/>
  <c r="K14" i="106"/>
  <c r="K15" i="106" s="1"/>
  <c r="K16" i="106" s="1"/>
  <c r="L13" i="106"/>
  <c r="L13" i="105"/>
  <c r="K14" i="105"/>
  <c r="K15" i="105" s="1"/>
  <c r="K16" i="105" s="1"/>
  <c r="M13" i="104"/>
  <c r="L14" i="104"/>
  <c r="L15" i="104" s="1"/>
  <c r="L16" i="104" s="1"/>
  <c r="K13" i="103"/>
  <c r="J14" i="103"/>
  <c r="J15" i="103" s="1"/>
  <c r="J16" i="103" s="1"/>
  <c r="J14" i="102"/>
  <c r="J15" i="102" s="1"/>
  <c r="J16" i="102" s="1"/>
  <c r="K13" i="102"/>
  <c r="H14" i="101"/>
  <c r="H15" i="101" s="1"/>
  <c r="H16" i="101" s="1"/>
  <c r="I13" i="101"/>
  <c r="J13" i="101" s="1"/>
  <c r="J14" i="100"/>
  <c r="J15" i="100" s="1"/>
  <c r="J16" i="100" s="1"/>
  <c r="K13" i="100"/>
  <c r="G14" i="99"/>
  <c r="G15" i="99" s="1"/>
  <c r="G16" i="99" s="1"/>
  <c r="H13" i="99"/>
  <c r="G13" i="98"/>
  <c r="Q14" i="97"/>
  <c r="I14" i="97"/>
  <c r="AA13" i="97"/>
  <c r="E15" i="97" s="1"/>
  <c r="F13" i="97"/>
  <c r="F14" i="97" s="1"/>
  <c r="F15" i="97" s="1"/>
  <c r="F16" i="97" s="1"/>
  <c r="E13" i="97"/>
  <c r="E15" i="96"/>
  <c r="Q14" i="96"/>
  <c r="Q15" i="96" s="1"/>
  <c r="Q16" i="96" s="1"/>
  <c r="I14" i="96"/>
  <c r="I15" i="96" s="1"/>
  <c r="I16" i="96" s="1"/>
  <c r="AA13" i="96"/>
  <c r="G13" i="96"/>
  <c r="G14" i="96" s="1"/>
  <c r="G15" i="96" s="1"/>
  <c r="G16" i="96" s="1"/>
  <c r="F13" i="96"/>
  <c r="F14" i="96" s="1"/>
  <c r="F15" i="96" s="1"/>
  <c r="F16" i="96" s="1"/>
  <c r="E13" i="96"/>
  <c r="N13" i="109" l="1"/>
  <c r="M14" i="109"/>
  <c r="M15" i="109" s="1"/>
  <c r="M16" i="109" s="1"/>
  <c r="N13" i="108"/>
  <c r="M14" i="108"/>
  <c r="M15" i="108" s="1"/>
  <c r="M16" i="108" s="1"/>
  <c r="L13" i="107"/>
  <c r="K14" i="107"/>
  <c r="K15" i="107" s="1"/>
  <c r="K16" i="107" s="1"/>
  <c r="M13" i="106"/>
  <c r="L14" i="106"/>
  <c r="L15" i="106" s="1"/>
  <c r="L16" i="106" s="1"/>
  <c r="M13" i="105"/>
  <c r="L14" i="105"/>
  <c r="L15" i="105" s="1"/>
  <c r="L16" i="105" s="1"/>
  <c r="N13" i="104"/>
  <c r="M14" i="104"/>
  <c r="M15" i="104" s="1"/>
  <c r="M16" i="104" s="1"/>
  <c r="L13" i="103"/>
  <c r="K14" i="103"/>
  <c r="K15" i="103" s="1"/>
  <c r="K16" i="103" s="1"/>
  <c r="L13" i="102"/>
  <c r="K14" i="102"/>
  <c r="K15" i="102" s="1"/>
  <c r="K16" i="102" s="1"/>
  <c r="K13" i="101"/>
  <c r="J14" i="101"/>
  <c r="J15" i="101" s="1"/>
  <c r="J16" i="101" s="1"/>
  <c r="L13" i="100"/>
  <c r="K14" i="100"/>
  <c r="K15" i="100" s="1"/>
  <c r="K16" i="100" s="1"/>
  <c r="H14" i="99"/>
  <c r="H15" i="99" s="1"/>
  <c r="H16" i="99" s="1"/>
  <c r="I13" i="99"/>
  <c r="J13" i="99" s="1"/>
  <c r="G14" i="98"/>
  <c r="G15" i="98" s="1"/>
  <c r="G16" i="98" s="1"/>
  <c r="H13" i="98"/>
  <c r="I15" i="97"/>
  <c r="I16" i="97" s="1"/>
  <c r="Q15" i="97"/>
  <c r="Q16" i="97" s="1"/>
  <c r="G13" i="97"/>
  <c r="H13" i="96"/>
  <c r="E15" i="95"/>
  <c r="Q14" i="95"/>
  <c r="Q15" i="95" s="1"/>
  <c r="Q16" i="95" s="1"/>
  <c r="I14" i="95"/>
  <c r="I15" i="95" s="1"/>
  <c r="I16" i="95" s="1"/>
  <c r="AA13" i="95"/>
  <c r="G13" i="95"/>
  <c r="H13" i="95" s="1"/>
  <c r="F13" i="95"/>
  <c r="F14" i="95" s="1"/>
  <c r="F15" i="95" s="1"/>
  <c r="F16" i="95" s="1"/>
  <c r="E13" i="95"/>
  <c r="N14" i="109" l="1"/>
  <c r="N15" i="109" s="1"/>
  <c r="N16" i="109" s="1"/>
  <c r="O13" i="109"/>
  <c r="N14" i="108"/>
  <c r="N15" i="108" s="1"/>
  <c r="N16" i="108" s="1"/>
  <c r="O13" i="108"/>
  <c r="M13" i="107"/>
  <c r="L14" i="107"/>
  <c r="L15" i="107" s="1"/>
  <c r="L16" i="107" s="1"/>
  <c r="N13" i="106"/>
  <c r="M14" i="106"/>
  <c r="M15" i="106" s="1"/>
  <c r="M16" i="106" s="1"/>
  <c r="N13" i="105"/>
  <c r="M14" i="105"/>
  <c r="M15" i="105" s="1"/>
  <c r="M16" i="105" s="1"/>
  <c r="N14" i="104"/>
  <c r="N15" i="104" s="1"/>
  <c r="N16" i="104" s="1"/>
  <c r="O13" i="104"/>
  <c r="M13" i="103"/>
  <c r="L14" i="103"/>
  <c r="L15" i="103" s="1"/>
  <c r="L16" i="103" s="1"/>
  <c r="M13" i="102"/>
  <c r="L14" i="102"/>
  <c r="L15" i="102" s="1"/>
  <c r="L16" i="102" s="1"/>
  <c r="L13" i="101"/>
  <c r="K14" i="101"/>
  <c r="K15" i="101" s="1"/>
  <c r="K16" i="101" s="1"/>
  <c r="M13" i="100"/>
  <c r="L14" i="100"/>
  <c r="L15" i="100" s="1"/>
  <c r="L16" i="100" s="1"/>
  <c r="K13" i="99"/>
  <c r="J14" i="99"/>
  <c r="J15" i="99" s="1"/>
  <c r="J16" i="99" s="1"/>
  <c r="I13" i="98"/>
  <c r="J13" i="98" s="1"/>
  <c r="H14" i="98"/>
  <c r="H15" i="98" s="1"/>
  <c r="H16" i="98" s="1"/>
  <c r="G14" i="97"/>
  <c r="G15" i="97" s="1"/>
  <c r="G16" i="97" s="1"/>
  <c r="H13" i="97"/>
  <c r="H14" i="96"/>
  <c r="H15" i="96" s="1"/>
  <c r="H16" i="96" s="1"/>
  <c r="I13" i="96"/>
  <c r="J13" i="96" s="1"/>
  <c r="H14" i="95"/>
  <c r="H15" i="95" s="1"/>
  <c r="H16" i="95" s="1"/>
  <c r="I13" i="95"/>
  <c r="J13" i="95" s="1"/>
  <c r="G14" i="95"/>
  <c r="G15" i="95" s="1"/>
  <c r="G16" i="95" s="1"/>
  <c r="Q14" i="94"/>
  <c r="I14" i="94"/>
  <c r="G14" i="94"/>
  <c r="AA13" i="94"/>
  <c r="E15" i="94" s="1"/>
  <c r="G13" i="94"/>
  <c r="H13" i="94" s="1"/>
  <c r="F13" i="94"/>
  <c r="F14" i="94" s="1"/>
  <c r="F15" i="94" s="1"/>
  <c r="F16" i="94" s="1"/>
  <c r="E13" i="94"/>
  <c r="Q14" i="93"/>
  <c r="I14" i="93"/>
  <c r="AA13" i="93"/>
  <c r="E13" i="93" s="1"/>
  <c r="G13" i="93"/>
  <c r="G14" i="93" s="1"/>
  <c r="F13" i="93"/>
  <c r="F14" i="93" s="1"/>
  <c r="E15" i="92"/>
  <c r="Q14" i="92"/>
  <c r="Q15" i="92" s="1"/>
  <c r="Q16" i="92" s="1"/>
  <c r="I14" i="92"/>
  <c r="I15" i="92" s="1"/>
  <c r="I16" i="92" s="1"/>
  <c r="AA13" i="92"/>
  <c r="G13" i="92"/>
  <c r="G14" i="92" s="1"/>
  <c r="G15" i="92" s="1"/>
  <c r="G16" i="92" s="1"/>
  <c r="F13" i="92"/>
  <c r="F14" i="92" s="1"/>
  <c r="F15" i="92" s="1"/>
  <c r="F16" i="92" s="1"/>
  <c r="E13" i="92"/>
  <c r="Q14" i="91"/>
  <c r="I14" i="91"/>
  <c r="AA13" i="91"/>
  <c r="E15" i="91" s="1"/>
  <c r="G13" i="91"/>
  <c r="G14" i="91" s="1"/>
  <c r="F13" i="91"/>
  <c r="F14" i="91" s="1"/>
  <c r="E13" i="91"/>
  <c r="E15" i="90"/>
  <c r="Q14" i="90"/>
  <c r="Q15" i="90" s="1"/>
  <c r="Q16" i="90" s="1"/>
  <c r="I14" i="90"/>
  <c r="I15" i="90" s="1"/>
  <c r="I16" i="90" s="1"/>
  <c r="AA13" i="90"/>
  <c r="G13" i="90"/>
  <c r="G14" i="90" s="1"/>
  <c r="G15" i="90" s="1"/>
  <c r="G16" i="90" s="1"/>
  <c r="F13" i="90"/>
  <c r="F14" i="90" s="1"/>
  <c r="F15" i="90" s="1"/>
  <c r="F16" i="90" s="1"/>
  <c r="E13" i="90"/>
  <c r="E15" i="89"/>
  <c r="Q14" i="89"/>
  <c r="Q15" i="89" s="1"/>
  <c r="Q16" i="89" s="1"/>
  <c r="I14" i="89"/>
  <c r="I15" i="89" s="1"/>
  <c r="I16" i="89" s="1"/>
  <c r="AA13" i="89"/>
  <c r="G13" i="89"/>
  <c r="G14" i="89" s="1"/>
  <c r="G15" i="89" s="1"/>
  <c r="G16" i="89" s="1"/>
  <c r="F13" i="89"/>
  <c r="F14" i="89" s="1"/>
  <c r="F15" i="89" s="1"/>
  <c r="F16" i="89" s="1"/>
  <c r="E13" i="89"/>
  <c r="E15" i="88"/>
  <c r="Q14" i="88"/>
  <c r="Q15" i="88" s="1"/>
  <c r="Q16" i="88" s="1"/>
  <c r="I14" i="88"/>
  <c r="I15" i="88" s="1"/>
  <c r="I16" i="88" s="1"/>
  <c r="AA13" i="88"/>
  <c r="E13" i="88" s="1"/>
  <c r="G13" i="88"/>
  <c r="H13" i="88" s="1"/>
  <c r="F13" i="88"/>
  <c r="F14" i="88" s="1"/>
  <c r="F15" i="88" s="1"/>
  <c r="F16" i="88" s="1"/>
  <c r="Q14" i="87"/>
  <c r="Q15" i="87" s="1"/>
  <c r="Q16" i="87" s="1"/>
  <c r="I14" i="87"/>
  <c r="I15" i="87" s="1"/>
  <c r="I16" i="87" s="1"/>
  <c r="AA13" i="87"/>
  <c r="E15" i="87" s="1"/>
  <c r="G13" i="87"/>
  <c r="G14" i="87" s="1"/>
  <c r="G15" i="87" s="1"/>
  <c r="G16" i="87" s="1"/>
  <c r="F13" i="87"/>
  <c r="F14" i="87" s="1"/>
  <c r="F15" i="87" s="1"/>
  <c r="F16" i="87" s="1"/>
  <c r="E13" i="87"/>
  <c r="E15" i="86"/>
  <c r="Q14" i="86"/>
  <c r="Q15" i="86" s="1"/>
  <c r="Q16" i="86" s="1"/>
  <c r="I14" i="86"/>
  <c r="I15" i="86" s="1"/>
  <c r="I16" i="86" s="1"/>
  <c r="AA13" i="86"/>
  <c r="G13" i="86"/>
  <c r="G14" i="86" s="1"/>
  <c r="G15" i="86" s="1"/>
  <c r="G16" i="86" s="1"/>
  <c r="F13" i="86"/>
  <c r="F14" i="86" s="1"/>
  <c r="F15" i="86" s="1"/>
  <c r="F16" i="86" s="1"/>
  <c r="E13" i="86"/>
  <c r="Q14" i="85"/>
  <c r="I14" i="85"/>
  <c r="AA13" i="85"/>
  <c r="E15" i="85" s="1"/>
  <c r="G13" i="85"/>
  <c r="G14" i="85" s="1"/>
  <c r="G15" i="85" s="1"/>
  <c r="G16" i="85" s="1"/>
  <c r="F13" i="85"/>
  <c r="F14" i="85" s="1"/>
  <c r="F15" i="85" s="1"/>
  <c r="F16" i="85" s="1"/>
  <c r="E13" i="85"/>
  <c r="Q14" i="84"/>
  <c r="Q15" i="84" s="1"/>
  <c r="Q16" i="84" s="1"/>
  <c r="I14" i="84"/>
  <c r="I15" i="84" s="1"/>
  <c r="I16" i="84" s="1"/>
  <c r="AA13" i="84"/>
  <c r="E15" i="84" s="1"/>
  <c r="G13" i="84"/>
  <c r="H13" i="84" s="1"/>
  <c r="F13" i="84"/>
  <c r="F14" i="84" s="1"/>
  <c r="F15" i="84" s="1"/>
  <c r="F16" i="84" s="1"/>
  <c r="E13" i="84"/>
  <c r="Q14" i="83"/>
  <c r="I14" i="83"/>
  <c r="AA13" i="83"/>
  <c r="E15" i="83" s="1"/>
  <c r="G13" i="83"/>
  <c r="G14" i="83" s="1"/>
  <c r="G15" i="83" s="1"/>
  <c r="G16" i="83" s="1"/>
  <c r="F13" i="83"/>
  <c r="F14" i="83" s="1"/>
  <c r="F15" i="83" s="1"/>
  <c r="F16" i="83" s="1"/>
  <c r="E13" i="83"/>
  <c r="O14" i="109" l="1"/>
  <c r="O15" i="109" s="1"/>
  <c r="O16" i="109" s="1"/>
  <c r="P13" i="109"/>
  <c r="O14" i="108"/>
  <c r="O15" i="108" s="1"/>
  <c r="O16" i="108" s="1"/>
  <c r="P13" i="108"/>
  <c r="N13" i="107"/>
  <c r="M14" i="107"/>
  <c r="M15" i="107" s="1"/>
  <c r="M16" i="107" s="1"/>
  <c r="O13" i="106"/>
  <c r="N14" i="106"/>
  <c r="N15" i="106" s="1"/>
  <c r="N16" i="106" s="1"/>
  <c r="O13" i="105"/>
  <c r="N14" i="105"/>
  <c r="N15" i="105" s="1"/>
  <c r="N16" i="105" s="1"/>
  <c r="O14" i="104"/>
  <c r="O15" i="104" s="1"/>
  <c r="O16" i="104" s="1"/>
  <c r="P13" i="104"/>
  <c r="N13" i="103"/>
  <c r="M14" i="103"/>
  <c r="M15" i="103" s="1"/>
  <c r="M16" i="103" s="1"/>
  <c r="N13" i="102"/>
  <c r="M14" i="102"/>
  <c r="M15" i="102" s="1"/>
  <c r="M16" i="102" s="1"/>
  <c r="M13" i="101"/>
  <c r="L14" i="101"/>
  <c r="L15" i="101" s="1"/>
  <c r="L16" i="101" s="1"/>
  <c r="N13" i="100"/>
  <c r="M14" i="100"/>
  <c r="M15" i="100" s="1"/>
  <c r="M16" i="100" s="1"/>
  <c r="L13" i="99"/>
  <c r="K14" i="99"/>
  <c r="K15" i="99" s="1"/>
  <c r="K16" i="99" s="1"/>
  <c r="K13" i="98"/>
  <c r="J14" i="98"/>
  <c r="J15" i="98" s="1"/>
  <c r="J16" i="98" s="1"/>
  <c r="I13" i="97"/>
  <c r="J13" i="97" s="1"/>
  <c r="H14" i="97"/>
  <c r="H15" i="97" s="1"/>
  <c r="H16" i="97" s="1"/>
  <c r="K13" i="96"/>
  <c r="J14" i="96"/>
  <c r="J15" i="96" s="1"/>
  <c r="J16" i="96" s="1"/>
  <c r="K13" i="95"/>
  <c r="J14" i="95"/>
  <c r="J15" i="95" s="1"/>
  <c r="J16" i="95" s="1"/>
  <c r="H14" i="94"/>
  <c r="H15" i="94" s="1"/>
  <c r="H16" i="94" s="1"/>
  <c r="I13" i="94"/>
  <c r="J13" i="94" s="1"/>
  <c r="G15" i="94"/>
  <c r="G16" i="94" s="1"/>
  <c r="I15" i="94"/>
  <c r="I16" i="94" s="1"/>
  <c r="Q15" i="94"/>
  <c r="Q16" i="94" s="1"/>
  <c r="E15" i="93"/>
  <c r="Q15" i="93" s="1"/>
  <c r="Q16" i="93" s="1"/>
  <c r="H13" i="93"/>
  <c r="H13" i="92"/>
  <c r="I15" i="91"/>
  <c r="I16" i="91" s="1"/>
  <c r="Q15" i="91"/>
  <c r="Q16" i="91" s="1"/>
  <c r="F15" i="91"/>
  <c r="F16" i="91" s="1"/>
  <c r="G15" i="91"/>
  <c r="G16" i="91" s="1"/>
  <c r="H13" i="91"/>
  <c r="H13" i="90"/>
  <c r="H13" i="89"/>
  <c r="H14" i="88"/>
  <c r="H15" i="88" s="1"/>
  <c r="H16" i="88" s="1"/>
  <c r="I13" i="88"/>
  <c r="J13" i="88" s="1"/>
  <c r="G14" i="88"/>
  <c r="G15" i="88" s="1"/>
  <c r="G16" i="88" s="1"/>
  <c r="H13" i="87"/>
  <c r="H13" i="86"/>
  <c r="I15" i="85"/>
  <c r="I16" i="85" s="1"/>
  <c r="Q15" i="85"/>
  <c r="Q16" i="85" s="1"/>
  <c r="H13" i="85"/>
  <c r="H14" i="84"/>
  <c r="H15" i="84" s="1"/>
  <c r="H16" i="84" s="1"/>
  <c r="I13" i="84"/>
  <c r="J13" i="84" s="1"/>
  <c r="G14" i="84"/>
  <c r="G15" i="84" s="1"/>
  <c r="G16" i="84" s="1"/>
  <c r="I15" i="83"/>
  <c r="I16" i="83" s="1"/>
  <c r="Q15" i="83"/>
  <c r="Q16" i="83" s="1"/>
  <c r="H13" i="83"/>
  <c r="Q14" i="82"/>
  <c r="I14" i="82"/>
  <c r="AA13" i="82"/>
  <c r="E15" i="82" s="1"/>
  <c r="G13" i="82"/>
  <c r="G14" i="82" s="1"/>
  <c r="G15" i="82" s="1"/>
  <c r="G16" i="82" s="1"/>
  <c r="F13" i="82"/>
  <c r="F14" i="82" s="1"/>
  <c r="F15" i="82" s="1"/>
  <c r="F16" i="82" s="1"/>
  <c r="E13" i="82"/>
  <c r="Q14" i="81"/>
  <c r="I14" i="81"/>
  <c r="AA13" i="81"/>
  <c r="E13" i="81" s="1"/>
  <c r="G13" i="81"/>
  <c r="G14" i="81" s="1"/>
  <c r="F13" i="81"/>
  <c r="F14" i="81" s="1"/>
  <c r="Q14" i="80"/>
  <c r="I14" i="80"/>
  <c r="AA13" i="80"/>
  <c r="E13" i="80" s="1"/>
  <c r="G13" i="80"/>
  <c r="G14" i="80" s="1"/>
  <c r="F13" i="80"/>
  <c r="F14" i="80" s="1"/>
  <c r="E15" i="79"/>
  <c r="Q14" i="79"/>
  <c r="Q15" i="79" s="1"/>
  <c r="Q16" i="79" s="1"/>
  <c r="I14" i="79"/>
  <c r="I15" i="79" s="1"/>
  <c r="I16" i="79" s="1"/>
  <c r="AA13" i="79"/>
  <c r="F13" i="79"/>
  <c r="F14" i="79" s="1"/>
  <c r="F15" i="79" s="1"/>
  <c r="F16" i="79" s="1"/>
  <c r="E13" i="79"/>
  <c r="Q14" i="78"/>
  <c r="Q15" i="78" s="1"/>
  <c r="Q16" i="78" s="1"/>
  <c r="I14" i="78"/>
  <c r="AA13" i="78"/>
  <c r="E15" i="78" s="1"/>
  <c r="G13" i="78"/>
  <c r="G14" i="78" s="1"/>
  <c r="G15" i="78" s="1"/>
  <c r="G16" i="78" s="1"/>
  <c r="F13" i="78"/>
  <c r="F14" i="78" s="1"/>
  <c r="F15" i="78" s="1"/>
  <c r="F16" i="78" s="1"/>
  <c r="E13" i="78"/>
  <c r="Q14" i="77"/>
  <c r="I14" i="77"/>
  <c r="AA13" i="77"/>
  <c r="E15" i="77" s="1"/>
  <c r="G13" i="77"/>
  <c r="G14" i="77" s="1"/>
  <c r="G15" i="77" s="1"/>
  <c r="G16" i="77" s="1"/>
  <c r="F13" i="77"/>
  <c r="F14" i="77" s="1"/>
  <c r="F15" i="77" s="1"/>
  <c r="F16" i="77" s="1"/>
  <c r="E13" i="77"/>
  <c r="E15" i="76"/>
  <c r="Q14" i="76"/>
  <c r="Q15" i="76" s="1"/>
  <c r="Q16" i="76" s="1"/>
  <c r="I14" i="76"/>
  <c r="I15" i="76" s="1"/>
  <c r="I16" i="76" s="1"/>
  <c r="AA13" i="76"/>
  <c r="G13" i="76"/>
  <c r="G14" i="76" s="1"/>
  <c r="G15" i="76" s="1"/>
  <c r="G16" i="76" s="1"/>
  <c r="F13" i="76"/>
  <c r="F14" i="76" s="1"/>
  <c r="F15" i="76" s="1"/>
  <c r="F16" i="76" s="1"/>
  <c r="E13" i="76"/>
  <c r="Q14" i="75"/>
  <c r="I14" i="75"/>
  <c r="AA13" i="75"/>
  <c r="E13" i="75" s="1"/>
  <c r="G13" i="75"/>
  <c r="G14" i="75" s="1"/>
  <c r="F13" i="75"/>
  <c r="F14" i="75" s="1"/>
  <c r="Q14" i="74"/>
  <c r="I14" i="74"/>
  <c r="AA13" i="74"/>
  <c r="E15" i="74" s="1"/>
  <c r="F13" i="74"/>
  <c r="F14" i="74" s="1"/>
  <c r="F15" i="74" s="1"/>
  <c r="F16" i="74" s="1"/>
  <c r="E13" i="74"/>
  <c r="Q14" i="73"/>
  <c r="Q15" i="73" s="1"/>
  <c r="Q16" i="73" s="1"/>
  <c r="I14" i="73"/>
  <c r="I15" i="73" s="1"/>
  <c r="I16" i="73" s="1"/>
  <c r="AA13" i="73"/>
  <c r="E15" i="73" s="1"/>
  <c r="G13" i="73"/>
  <c r="G14" i="73" s="1"/>
  <c r="G15" i="73" s="1"/>
  <c r="G16" i="73" s="1"/>
  <c r="F13" i="73"/>
  <c r="F14" i="73" s="1"/>
  <c r="F15" i="73" s="1"/>
  <c r="F16" i="73" s="1"/>
  <c r="E13" i="73"/>
  <c r="Q14" i="72"/>
  <c r="I14" i="72"/>
  <c r="AA13" i="72"/>
  <c r="E15" i="72" s="1"/>
  <c r="G13" i="72"/>
  <c r="G14" i="72" s="1"/>
  <c r="G15" i="72" s="1"/>
  <c r="G16" i="72" s="1"/>
  <c r="F13" i="72"/>
  <c r="F14" i="72" s="1"/>
  <c r="F15" i="72" s="1"/>
  <c r="F16" i="72" s="1"/>
  <c r="E13" i="72"/>
  <c r="Q14" i="71"/>
  <c r="Q15" i="71" s="1"/>
  <c r="Q16" i="71" s="1"/>
  <c r="I14" i="71"/>
  <c r="I15" i="71" s="1"/>
  <c r="I16" i="71" s="1"/>
  <c r="AA13" i="71"/>
  <c r="E15" i="71" s="1"/>
  <c r="G13" i="71"/>
  <c r="G14" i="71" s="1"/>
  <c r="G15" i="71" s="1"/>
  <c r="G16" i="71" s="1"/>
  <c r="F13" i="71"/>
  <c r="F14" i="71" s="1"/>
  <c r="F15" i="71" s="1"/>
  <c r="F16" i="71" s="1"/>
  <c r="E13" i="71"/>
  <c r="E15" i="70"/>
  <c r="Q14" i="70"/>
  <c r="Q15" i="70" s="1"/>
  <c r="Q16" i="70" s="1"/>
  <c r="I14" i="70"/>
  <c r="I15" i="70" s="1"/>
  <c r="I16" i="70" s="1"/>
  <c r="AA13" i="70"/>
  <c r="G13" i="70"/>
  <c r="G14" i="70" s="1"/>
  <c r="G15" i="70" s="1"/>
  <c r="G16" i="70" s="1"/>
  <c r="F13" i="70"/>
  <c r="F14" i="70" s="1"/>
  <c r="F15" i="70" s="1"/>
  <c r="F16" i="70" s="1"/>
  <c r="E13" i="70"/>
  <c r="Q14" i="69"/>
  <c r="I14" i="69"/>
  <c r="AA13" i="69"/>
  <c r="E15" i="69" s="1"/>
  <c r="G13" i="69"/>
  <c r="G14" i="69" s="1"/>
  <c r="F13" i="69"/>
  <c r="F14" i="69" s="1"/>
  <c r="F15" i="69" s="1"/>
  <c r="F16" i="69" s="1"/>
  <c r="E13" i="69"/>
  <c r="Q14" i="68"/>
  <c r="I14" i="68"/>
  <c r="AA13" i="68"/>
  <c r="E15" i="68" s="1"/>
  <c r="G13" i="68"/>
  <c r="H13" i="68" s="1"/>
  <c r="F13" i="68"/>
  <c r="F14" i="68" s="1"/>
  <c r="F15" i="68" s="1"/>
  <c r="F16" i="68" s="1"/>
  <c r="E13" i="68"/>
  <c r="E15" i="67"/>
  <c r="Q14" i="67"/>
  <c r="Q15" i="67" s="1"/>
  <c r="Q16" i="67" s="1"/>
  <c r="I14" i="67"/>
  <c r="I15" i="67" s="1"/>
  <c r="I16" i="67" s="1"/>
  <c r="AA13" i="67"/>
  <c r="E13" i="67" s="1"/>
  <c r="G13" i="67"/>
  <c r="G14" i="67" s="1"/>
  <c r="G15" i="67" s="1"/>
  <c r="G16" i="67" s="1"/>
  <c r="F13" i="67"/>
  <c r="F14" i="67" s="1"/>
  <c r="F15" i="67" s="1"/>
  <c r="F16" i="67" s="1"/>
  <c r="P14" i="109" l="1"/>
  <c r="P15" i="109" s="1"/>
  <c r="P16" i="109" s="1"/>
  <c r="Q13" i="109"/>
  <c r="R13" i="109" s="1"/>
  <c r="P14" i="108"/>
  <c r="P15" i="108" s="1"/>
  <c r="P16" i="108" s="1"/>
  <c r="Q13" i="108"/>
  <c r="R13" i="108" s="1"/>
  <c r="N14" i="107"/>
  <c r="N15" i="107" s="1"/>
  <c r="N16" i="107" s="1"/>
  <c r="O13" i="107"/>
  <c r="O14" i="106"/>
  <c r="O15" i="106" s="1"/>
  <c r="O16" i="106" s="1"/>
  <c r="P13" i="106"/>
  <c r="O14" i="105"/>
  <c r="O15" i="105" s="1"/>
  <c r="O16" i="105" s="1"/>
  <c r="P13" i="105"/>
  <c r="P14" i="104"/>
  <c r="P15" i="104" s="1"/>
  <c r="P16" i="104" s="1"/>
  <c r="Q13" i="104"/>
  <c r="R13" i="104" s="1"/>
  <c r="N14" i="103"/>
  <c r="N15" i="103" s="1"/>
  <c r="N16" i="103" s="1"/>
  <c r="O13" i="103"/>
  <c r="N14" i="102"/>
  <c r="N15" i="102" s="1"/>
  <c r="N16" i="102" s="1"/>
  <c r="O13" i="102"/>
  <c r="N13" i="101"/>
  <c r="M14" i="101"/>
  <c r="M15" i="101" s="1"/>
  <c r="M16" i="101" s="1"/>
  <c r="O13" i="100"/>
  <c r="N14" i="100"/>
  <c r="N15" i="100" s="1"/>
  <c r="N16" i="100" s="1"/>
  <c r="M13" i="99"/>
  <c r="L14" i="99"/>
  <c r="L15" i="99" s="1"/>
  <c r="L16" i="99" s="1"/>
  <c r="L13" i="98"/>
  <c r="K14" i="98"/>
  <c r="K15" i="98" s="1"/>
  <c r="K16" i="98" s="1"/>
  <c r="K13" i="97"/>
  <c r="J14" i="97"/>
  <c r="J15" i="97" s="1"/>
  <c r="J16" i="97" s="1"/>
  <c r="K14" i="96"/>
  <c r="K15" i="96" s="1"/>
  <c r="K16" i="96" s="1"/>
  <c r="L13" i="96"/>
  <c r="L13" i="95"/>
  <c r="K14" i="95"/>
  <c r="K15" i="95" s="1"/>
  <c r="K16" i="95" s="1"/>
  <c r="K13" i="94"/>
  <c r="J14" i="94"/>
  <c r="J15" i="94" s="1"/>
  <c r="J16" i="94" s="1"/>
  <c r="H14" i="93"/>
  <c r="H15" i="93" s="1"/>
  <c r="H16" i="93" s="1"/>
  <c r="I13" i="93"/>
  <c r="J13" i="93" s="1"/>
  <c r="G15" i="93"/>
  <c r="G16" i="93" s="1"/>
  <c r="F15" i="93"/>
  <c r="F16" i="93" s="1"/>
  <c r="I15" i="93"/>
  <c r="I16" i="93" s="1"/>
  <c r="H14" i="92"/>
  <c r="H15" i="92" s="1"/>
  <c r="H16" i="92" s="1"/>
  <c r="I13" i="92"/>
  <c r="J13" i="92" s="1"/>
  <c r="H14" i="91"/>
  <c r="H15" i="91" s="1"/>
  <c r="H16" i="91" s="1"/>
  <c r="I13" i="91"/>
  <c r="J13" i="91" s="1"/>
  <c r="H14" i="90"/>
  <c r="H15" i="90" s="1"/>
  <c r="H16" i="90" s="1"/>
  <c r="I13" i="90"/>
  <c r="J13" i="90" s="1"/>
  <c r="H14" i="89"/>
  <c r="H15" i="89" s="1"/>
  <c r="H16" i="89" s="1"/>
  <c r="I13" i="89"/>
  <c r="J13" i="89" s="1"/>
  <c r="J14" i="88"/>
  <c r="J15" i="88" s="1"/>
  <c r="J16" i="88" s="1"/>
  <c r="K13" i="88"/>
  <c r="H14" i="87"/>
  <c r="H15" i="87" s="1"/>
  <c r="H16" i="87" s="1"/>
  <c r="I13" i="87"/>
  <c r="J13" i="87" s="1"/>
  <c r="H14" i="86"/>
  <c r="H15" i="86" s="1"/>
  <c r="H16" i="86" s="1"/>
  <c r="I13" i="86"/>
  <c r="J13" i="86" s="1"/>
  <c r="H14" i="85"/>
  <c r="H15" i="85" s="1"/>
  <c r="H16" i="85" s="1"/>
  <c r="I13" i="85"/>
  <c r="J13" i="85" s="1"/>
  <c r="K13" i="84"/>
  <c r="J14" i="84"/>
  <c r="J15" i="84" s="1"/>
  <c r="J16" i="84" s="1"/>
  <c r="H14" i="83"/>
  <c r="H15" i="83" s="1"/>
  <c r="H16" i="83" s="1"/>
  <c r="I13" i="83"/>
  <c r="J13" i="83" s="1"/>
  <c r="I15" i="82"/>
  <c r="I16" i="82" s="1"/>
  <c r="Q15" i="82"/>
  <c r="Q16" i="82" s="1"/>
  <c r="H13" i="82"/>
  <c r="F15" i="81"/>
  <c r="F16" i="81" s="1"/>
  <c r="G15" i="81"/>
  <c r="G16" i="81" s="1"/>
  <c r="H13" i="81"/>
  <c r="E15" i="81"/>
  <c r="I15" i="81" s="1"/>
  <c r="I16" i="81" s="1"/>
  <c r="E15" i="80"/>
  <c r="F15" i="80" s="1"/>
  <c r="F16" i="80" s="1"/>
  <c r="H13" i="80"/>
  <c r="G13" i="79"/>
  <c r="I15" i="78"/>
  <c r="I16" i="78" s="1"/>
  <c r="H13" i="78"/>
  <c r="I15" i="77"/>
  <c r="I16" i="77" s="1"/>
  <c r="Q15" i="77"/>
  <c r="Q16" i="77" s="1"/>
  <c r="H13" i="77"/>
  <c r="H13" i="76"/>
  <c r="E15" i="75"/>
  <c r="G15" i="75" s="1"/>
  <c r="G16" i="75" s="1"/>
  <c r="H13" i="75"/>
  <c r="Q15" i="74"/>
  <c r="Q16" i="74" s="1"/>
  <c r="I15" i="74"/>
  <c r="I16" i="74" s="1"/>
  <c r="G13" i="74"/>
  <c r="H13" i="73"/>
  <c r="I15" i="72"/>
  <c r="I16" i="72" s="1"/>
  <c r="Q15" i="72"/>
  <c r="Q16" i="72" s="1"/>
  <c r="H13" i="72"/>
  <c r="H13" i="71"/>
  <c r="H13" i="70"/>
  <c r="I15" i="69"/>
  <c r="I16" i="69" s="1"/>
  <c r="G15" i="69"/>
  <c r="G16" i="69" s="1"/>
  <c r="Q15" i="69"/>
  <c r="Q16" i="69" s="1"/>
  <c r="H13" i="69"/>
  <c r="H14" i="68"/>
  <c r="H15" i="68" s="1"/>
  <c r="H16" i="68" s="1"/>
  <c r="I13" i="68"/>
  <c r="J13" i="68" s="1"/>
  <c r="I15" i="68"/>
  <c r="I16" i="68" s="1"/>
  <c r="Q15" i="68"/>
  <c r="Q16" i="68" s="1"/>
  <c r="G14" i="68"/>
  <c r="G15" i="68" s="1"/>
  <c r="G16" i="68" s="1"/>
  <c r="H13" i="67"/>
  <c r="Q14" i="66"/>
  <c r="I14" i="66"/>
  <c r="I15" i="66" s="1"/>
  <c r="I16" i="66" s="1"/>
  <c r="F14" i="66"/>
  <c r="AA13" i="66"/>
  <c r="E15" i="66" s="1"/>
  <c r="F15" i="66" s="1"/>
  <c r="F16" i="66" s="1"/>
  <c r="G13" i="66"/>
  <c r="F13" i="66"/>
  <c r="S13" i="109" l="1"/>
  <c r="R14" i="109"/>
  <c r="R15" i="109" s="1"/>
  <c r="R16" i="109" s="1"/>
  <c r="S13" i="108"/>
  <c r="R14" i="108"/>
  <c r="R15" i="108" s="1"/>
  <c r="R16" i="108" s="1"/>
  <c r="O14" i="107"/>
  <c r="O15" i="107" s="1"/>
  <c r="O16" i="107" s="1"/>
  <c r="P13" i="107"/>
  <c r="P14" i="106"/>
  <c r="P15" i="106" s="1"/>
  <c r="P16" i="106" s="1"/>
  <c r="Q13" i="106"/>
  <c r="R13" i="106" s="1"/>
  <c r="P14" i="105"/>
  <c r="P15" i="105" s="1"/>
  <c r="P16" i="105" s="1"/>
  <c r="Q13" i="105"/>
  <c r="R13" i="105" s="1"/>
  <c r="R14" i="104"/>
  <c r="R15" i="104" s="1"/>
  <c r="R16" i="104" s="1"/>
  <c r="S13" i="104"/>
  <c r="O14" i="103"/>
  <c r="O15" i="103" s="1"/>
  <c r="O16" i="103" s="1"/>
  <c r="P13" i="103"/>
  <c r="O14" i="102"/>
  <c r="O15" i="102" s="1"/>
  <c r="O16" i="102" s="1"/>
  <c r="P13" i="102"/>
  <c r="O13" i="101"/>
  <c r="N14" i="101"/>
  <c r="N15" i="101" s="1"/>
  <c r="N16" i="101" s="1"/>
  <c r="O14" i="100"/>
  <c r="O15" i="100" s="1"/>
  <c r="O16" i="100" s="1"/>
  <c r="P13" i="100"/>
  <c r="M14" i="99"/>
  <c r="M15" i="99" s="1"/>
  <c r="M16" i="99" s="1"/>
  <c r="N13" i="99"/>
  <c r="M13" i="98"/>
  <c r="L14" i="98"/>
  <c r="L15" i="98" s="1"/>
  <c r="L16" i="98" s="1"/>
  <c r="L13" i="97"/>
  <c r="K14" i="97"/>
  <c r="K15" i="97" s="1"/>
  <c r="K16" i="97" s="1"/>
  <c r="L14" i="96"/>
  <c r="L15" i="96" s="1"/>
  <c r="L16" i="96" s="1"/>
  <c r="M13" i="96"/>
  <c r="M13" i="95"/>
  <c r="L14" i="95"/>
  <c r="L15" i="95" s="1"/>
  <c r="L16" i="95" s="1"/>
  <c r="L13" i="94"/>
  <c r="K14" i="94"/>
  <c r="K15" i="94" s="1"/>
  <c r="K16" i="94" s="1"/>
  <c r="K13" i="93"/>
  <c r="J14" i="93"/>
  <c r="J15" i="93" s="1"/>
  <c r="J16" i="93" s="1"/>
  <c r="K13" i="92"/>
  <c r="J14" i="92"/>
  <c r="J15" i="92" s="1"/>
  <c r="J16" i="92" s="1"/>
  <c r="K13" i="91"/>
  <c r="J14" i="91"/>
  <c r="J15" i="91" s="1"/>
  <c r="J16" i="91" s="1"/>
  <c r="K13" i="90"/>
  <c r="J14" i="90"/>
  <c r="J15" i="90" s="1"/>
  <c r="J16" i="90" s="1"/>
  <c r="K13" i="89"/>
  <c r="J14" i="89"/>
  <c r="J15" i="89" s="1"/>
  <c r="J16" i="89" s="1"/>
  <c r="K14" i="88"/>
  <c r="K15" i="88" s="1"/>
  <c r="K16" i="88" s="1"/>
  <c r="L13" i="88"/>
  <c r="K13" i="87"/>
  <c r="J14" i="87"/>
  <c r="J15" i="87" s="1"/>
  <c r="J16" i="87" s="1"/>
  <c r="K13" i="86"/>
  <c r="J14" i="86"/>
  <c r="J15" i="86" s="1"/>
  <c r="J16" i="86" s="1"/>
  <c r="J14" i="85"/>
  <c r="J15" i="85" s="1"/>
  <c r="J16" i="85" s="1"/>
  <c r="K13" i="85"/>
  <c r="L13" i="84"/>
  <c r="K14" i="84"/>
  <c r="K15" i="84" s="1"/>
  <c r="K16" i="84" s="1"/>
  <c r="K13" i="83"/>
  <c r="J14" i="83"/>
  <c r="J15" i="83" s="1"/>
  <c r="J16" i="83" s="1"/>
  <c r="H14" i="82"/>
  <c r="H15" i="82" s="1"/>
  <c r="H16" i="82" s="1"/>
  <c r="I13" i="82"/>
  <c r="J13" i="82" s="1"/>
  <c r="H14" i="81"/>
  <c r="H15" i="81" s="1"/>
  <c r="H16" i="81" s="1"/>
  <c r="I13" i="81"/>
  <c r="J13" i="81" s="1"/>
  <c r="Q15" i="81"/>
  <c r="Q16" i="81" s="1"/>
  <c r="H14" i="80"/>
  <c r="H15" i="80" s="1"/>
  <c r="H16" i="80" s="1"/>
  <c r="I13" i="80"/>
  <c r="J13" i="80" s="1"/>
  <c r="Q15" i="80"/>
  <c r="Q16" i="80" s="1"/>
  <c r="I15" i="80"/>
  <c r="I16" i="80" s="1"/>
  <c r="G15" i="80"/>
  <c r="G16" i="80" s="1"/>
  <c r="G14" i="79"/>
  <c r="G15" i="79" s="1"/>
  <c r="G16" i="79" s="1"/>
  <c r="H13" i="79"/>
  <c r="H14" i="78"/>
  <c r="H15" i="78" s="1"/>
  <c r="H16" i="78" s="1"/>
  <c r="I13" i="78"/>
  <c r="J13" i="78" s="1"/>
  <c r="H14" i="77"/>
  <c r="H15" i="77" s="1"/>
  <c r="H16" i="77" s="1"/>
  <c r="I13" i="77"/>
  <c r="J13" i="77" s="1"/>
  <c r="H14" i="76"/>
  <c r="H15" i="76" s="1"/>
  <c r="H16" i="76" s="1"/>
  <c r="I13" i="76"/>
  <c r="J13" i="76" s="1"/>
  <c r="H14" i="75"/>
  <c r="H15" i="75" s="1"/>
  <c r="H16" i="75" s="1"/>
  <c r="I13" i="75"/>
  <c r="J13" i="75" s="1"/>
  <c r="Q15" i="75"/>
  <c r="Q16" i="75" s="1"/>
  <c r="I15" i="75"/>
  <c r="I16" i="75" s="1"/>
  <c r="F15" i="75"/>
  <c r="F16" i="75" s="1"/>
  <c r="G14" i="74"/>
  <c r="G15" i="74" s="1"/>
  <c r="G16" i="74" s="1"/>
  <c r="H13" i="74"/>
  <c r="H14" i="73"/>
  <c r="H15" i="73" s="1"/>
  <c r="H16" i="73" s="1"/>
  <c r="I13" i="73"/>
  <c r="J13" i="73" s="1"/>
  <c r="H14" i="72"/>
  <c r="H15" i="72" s="1"/>
  <c r="H16" i="72" s="1"/>
  <c r="I13" i="72"/>
  <c r="J13" i="72" s="1"/>
  <c r="H14" i="71"/>
  <c r="H15" i="71" s="1"/>
  <c r="H16" i="71" s="1"/>
  <c r="I13" i="71"/>
  <c r="J13" i="71" s="1"/>
  <c r="H14" i="70"/>
  <c r="H15" i="70" s="1"/>
  <c r="H16" i="70" s="1"/>
  <c r="I13" i="70"/>
  <c r="J13" i="70" s="1"/>
  <c r="H14" i="69"/>
  <c r="H15" i="69" s="1"/>
  <c r="H16" i="69" s="1"/>
  <c r="I13" i="69"/>
  <c r="J13" i="69" s="1"/>
  <c r="K13" i="68"/>
  <c r="J14" i="68"/>
  <c r="J15" i="68" s="1"/>
  <c r="J16" i="68" s="1"/>
  <c r="H14" i="67"/>
  <c r="H15" i="67" s="1"/>
  <c r="H16" i="67" s="1"/>
  <c r="I13" i="67"/>
  <c r="J13" i="67" s="1"/>
  <c r="G14" i="66"/>
  <c r="G15" i="66" s="1"/>
  <c r="G16" i="66" s="1"/>
  <c r="H13" i="66"/>
  <c r="Q15" i="66"/>
  <c r="Q16" i="66" s="1"/>
  <c r="E13" i="66"/>
  <c r="Q14" i="65"/>
  <c r="I14" i="65"/>
  <c r="AA13" i="65"/>
  <c r="E15" i="65" s="1"/>
  <c r="Q15" i="65" s="1"/>
  <c r="Q16" i="65" s="1"/>
  <c r="F13" i="65"/>
  <c r="G13" i="65" s="1"/>
  <c r="E13" i="65"/>
  <c r="T13" i="109" l="1"/>
  <c r="S14" i="109"/>
  <c r="S15" i="109" s="1"/>
  <c r="S16" i="109" s="1"/>
  <c r="T13" i="108"/>
  <c r="S14" i="108"/>
  <c r="S15" i="108" s="1"/>
  <c r="S16" i="108" s="1"/>
  <c r="Q13" i="107"/>
  <c r="R13" i="107" s="1"/>
  <c r="P14" i="107"/>
  <c r="P15" i="107" s="1"/>
  <c r="P16" i="107" s="1"/>
  <c r="S13" i="106"/>
  <c r="R14" i="106"/>
  <c r="R15" i="106" s="1"/>
  <c r="R16" i="106" s="1"/>
  <c r="S13" i="105"/>
  <c r="R14" i="105"/>
  <c r="R15" i="105" s="1"/>
  <c r="R16" i="105" s="1"/>
  <c r="T13" i="104"/>
  <c r="S14" i="104"/>
  <c r="S15" i="104" s="1"/>
  <c r="S16" i="104" s="1"/>
  <c r="P14" i="103"/>
  <c r="P15" i="103" s="1"/>
  <c r="P16" i="103" s="1"/>
  <c r="Q13" i="103"/>
  <c r="R13" i="103" s="1"/>
  <c r="P14" i="102"/>
  <c r="P15" i="102" s="1"/>
  <c r="P16" i="102" s="1"/>
  <c r="Q13" i="102"/>
  <c r="R13" i="102" s="1"/>
  <c r="O14" i="101"/>
  <c r="O15" i="101" s="1"/>
  <c r="O16" i="101" s="1"/>
  <c r="P13" i="101"/>
  <c r="P14" i="100"/>
  <c r="P15" i="100" s="1"/>
  <c r="P16" i="100" s="1"/>
  <c r="Q13" i="100"/>
  <c r="R13" i="100" s="1"/>
  <c r="N14" i="99"/>
  <c r="N15" i="99" s="1"/>
  <c r="N16" i="99" s="1"/>
  <c r="O13" i="99"/>
  <c r="M14" i="98"/>
  <c r="M15" i="98" s="1"/>
  <c r="M16" i="98" s="1"/>
  <c r="N13" i="98"/>
  <c r="L14" i="97"/>
  <c r="L15" i="97" s="1"/>
  <c r="L16" i="97" s="1"/>
  <c r="M13" i="97"/>
  <c r="N13" i="96"/>
  <c r="M14" i="96"/>
  <c r="M15" i="96" s="1"/>
  <c r="M16" i="96" s="1"/>
  <c r="N13" i="95"/>
  <c r="M14" i="95"/>
  <c r="M15" i="95" s="1"/>
  <c r="M16" i="95" s="1"/>
  <c r="M13" i="94"/>
  <c r="L14" i="94"/>
  <c r="L15" i="94" s="1"/>
  <c r="L16" i="94" s="1"/>
  <c r="L13" i="93"/>
  <c r="K14" i="93"/>
  <c r="K15" i="93" s="1"/>
  <c r="K16" i="93" s="1"/>
  <c r="K14" i="92"/>
  <c r="K15" i="92" s="1"/>
  <c r="K16" i="92" s="1"/>
  <c r="L13" i="92"/>
  <c r="L13" i="91"/>
  <c r="K14" i="91"/>
  <c r="K15" i="91" s="1"/>
  <c r="K16" i="91" s="1"/>
  <c r="L13" i="90"/>
  <c r="K14" i="90"/>
  <c r="K15" i="90" s="1"/>
  <c r="K16" i="90" s="1"/>
  <c r="K14" i="89"/>
  <c r="K15" i="89" s="1"/>
  <c r="K16" i="89" s="1"/>
  <c r="L13" i="89"/>
  <c r="M13" i="88"/>
  <c r="L14" i="88"/>
  <c r="L15" i="88" s="1"/>
  <c r="L16" i="88" s="1"/>
  <c r="L13" i="87"/>
  <c r="K14" i="87"/>
  <c r="K15" i="87" s="1"/>
  <c r="K16" i="87" s="1"/>
  <c r="L13" i="86"/>
  <c r="K14" i="86"/>
  <c r="K15" i="86" s="1"/>
  <c r="K16" i="86" s="1"/>
  <c r="L13" i="85"/>
  <c r="K14" i="85"/>
  <c r="K15" i="85" s="1"/>
  <c r="K16" i="85" s="1"/>
  <c r="M13" i="84"/>
  <c r="L14" i="84"/>
  <c r="L15" i="84" s="1"/>
  <c r="L16" i="84" s="1"/>
  <c r="L13" i="83"/>
  <c r="K14" i="83"/>
  <c r="K15" i="83" s="1"/>
  <c r="K16" i="83" s="1"/>
  <c r="K13" i="82"/>
  <c r="J14" i="82"/>
  <c r="J15" i="82" s="1"/>
  <c r="J16" i="82" s="1"/>
  <c r="K13" i="81"/>
  <c r="J14" i="81"/>
  <c r="J15" i="81" s="1"/>
  <c r="J16" i="81" s="1"/>
  <c r="J14" i="80"/>
  <c r="J15" i="80" s="1"/>
  <c r="J16" i="80" s="1"/>
  <c r="K13" i="80"/>
  <c r="I13" i="79"/>
  <c r="J13" i="79" s="1"/>
  <c r="H14" i="79"/>
  <c r="H15" i="79" s="1"/>
  <c r="H16" i="79" s="1"/>
  <c r="K13" i="78"/>
  <c r="J14" i="78"/>
  <c r="J15" i="78" s="1"/>
  <c r="J16" i="78" s="1"/>
  <c r="K13" i="77"/>
  <c r="J14" i="77"/>
  <c r="J15" i="77" s="1"/>
  <c r="J16" i="77" s="1"/>
  <c r="K13" i="76"/>
  <c r="J14" i="76"/>
  <c r="J15" i="76" s="1"/>
  <c r="J16" i="76" s="1"/>
  <c r="K13" i="75"/>
  <c r="J14" i="75"/>
  <c r="J15" i="75" s="1"/>
  <c r="J16" i="75" s="1"/>
  <c r="I13" i="74"/>
  <c r="J13" i="74" s="1"/>
  <c r="H14" i="74"/>
  <c r="H15" i="74" s="1"/>
  <c r="H16" i="74" s="1"/>
  <c r="K13" i="73"/>
  <c r="J14" i="73"/>
  <c r="J15" i="73" s="1"/>
  <c r="J16" i="73" s="1"/>
  <c r="K13" i="72"/>
  <c r="J14" i="72"/>
  <c r="J15" i="72" s="1"/>
  <c r="J16" i="72" s="1"/>
  <c r="K13" i="71"/>
  <c r="J14" i="71"/>
  <c r="J15" i="71" s="1"/>
  <c r="J16" i="71" s="1"/>
  <c r="K13" i="70"/>
  <c r="J14" i="70"/>
  <c r="J15" i="70" s="1"/>
  <c r="J16" i="70" s="1"/>
  <c r="K13" i="69"/>
  <c r="J14" i="69"/>
  <c r="J15" i="69" s="1"/>
  <c r="J16" i="69" s="1"/>
  <c r="L13" i="68"/>
  <c r="K14" i="68"/>
  <c r="K15" i="68" s="1"/>
  <c r="K16" i="68" s="1"/>
  <c r="J14" i="67"/>
  <c r="J15" i="67" s="1"/>
  <c r="J16" i="67" s="1"/>
  <c r="K13" i="67"/>
  <c r="F14" i="65"/>
  <c r="F15" i="65" s="1"/>
  <c r="F16" i="65" s="1"/>
  <c r="H14" i="66"/>
  <c r="H15" i="66" s="1"/>
  <c r="H16" i="66" s="1"/>
  <c r="I13" i="66"/>
  <c r="J13" i="66" s="1"/>
  <c r="G14" i="65"/>
  <c r="G15" i="65" s="1"/>
  <c r="G16" i="65" s="1"/>
  <c r="H13" i="65"/>
  <c r="I15" i="65"/>
  <c r="I16" i="65" s="1"/>
  <c r="E15" i="64"/>
  <c r="Q14" i="64"/>
  <c r="I14" i="64"/>
  <c r="AA13" i="64"/>
  <c r="F13" i="64"/>
  <c r="U13" i="109" l="1"/>
  <c r="T14" i="109"/>
  <c r="T15" i="109" s="1"/>
  <c r="T16" i="109" s="1"/>
  <c r="U13" i="108"/>
  <c r="T14" i="108"/>
  <c r="T15" i="108" s="1"/>
  <c r="T16" i="108" s="1"/>
  <c r="S13" i="107"/>
  <c r="R14" i="107"/>
  <c r="R15" i="107" s="1"/>
  <c r="R16" i="107" s="1"/>
  <c r="T13" i="106"/>
  <c r="S14" i="106"/>
  <c r="S15" i="106" s="1"/>
  <c r="S16" i="106" s="1"/>
  <c r="S14" i="105"/>
  <c r="S15" i="105" s="1"/>
  <c r="S16" i="105" s="1"/>
  <c r="T13" i="105"/>
  <c r="U13" i="104"/>
  <c r="T14" i="104"/>
  <c r="T15" i="104" s="1"/>
  <c r="T16" i="104" s="1"/>
  <c r="S13" i="103"/>
  <c r="R14" i="103"/>
  <c r="R15" i="103" s="1"/>
  <c r="R16" i="103" s="1"/>
  <c r="S13" i="102"/>
  <c r="R14" i="102"/>
  <c r="R15" i="102" s="1"/>
  <c r="R16" i="102" s="1"/>
  <c r="Q13" i="101"/>
  <c r="R13" i="101" s="1"/>
  <c r="P14" i="101"/>
  <c r="P15" i="101" s="1"/>
  <c r="P16" i="101" s="1"/>
  <c r="S13" i="100"/>
  <c r="R14" i="100"/>
  <c r="R15" i="100" s="1"/>
  <c r="R16" i="100" s="1"/>
  <c r="O14" i="99"/>
  <c r="O15" i="99" s="1"/>
  <c r="O16" i="99" s="1"/>
  <c r="P13" i="99"/>
  <c r="N14" i="98"/>
  <c r="N15" i="98" s="1"/>
  <c r="N16" i="98" s="1"/>
  <c r="O13" i="98"/>
  <c r="M14" i="97"/>
  <c r="M15" i="97" s="1"/>
  <c r="M16" i="97" s="1"/>
  <c r="N13" i="97"/>
  <c r="N14" i="96"/>
  <c r="N15" i="96" s="1"/>
  <c r="N16" i="96" s="1"/>
  <c r="O13" i="96"/>
  <c r="N14" i="95"/>
  <c r="N15" i="95" s="1"/>
  <c r="N16" i="95" s="1"/>
  <c r="O13" i="95"/>
  <c r="N13" i="94"/>
  <c r="M14" i="94"/>
  <c r="M15" i="94" s="1"/>
  <c r="M16" i="94" s="1"/>
  <c r="M13" i="93"/>
  <c r="L14" i="93"/>
  <c r="L15" i="93" s="1"/>
  <c r="L16" i="93" s="1"/>
  <c r="L14" i="92"/>
  <c r="L15" i="92" s="1"/>
  <c r="L16" i="92" s="1"/>
  <c r="M13" i="92"/>
  <c r="M13" i="91"/>
  <c r="L14" i="91"/>
  <c r="L15" i="91" s="1"/>
  <c r="L16" i="91" s="1"/>
  <c r="M13" i="90"/>
  <c r="L14" i="90"/>
  <c r="L15" i="90" s="1"/>
  <c r="L16" i="90" s="1"/>
  <c r="M13" i="89"/>
  <c r="L14" i="89"/>
  <c r="L15" i="89" s="1"/>
  <c r="L16" i="89" s="1"/>
  <c r="N13" i="88"/>
  <c r="M14" i="88"/>
  <c r="M15" i="88" s="1"/>
  <c r="M16" i="88" s="1"/>
  <c r="M13" i="87"/>
  <c r="L14" i="87"/>
  <c r="L15" i="87" s="1"/>
  <c r="L16" i="87" s="1"/>
  <c r="M13" i="86"/>
  <c r="L14" i="86"/>
  <c r="L15" i="86" s="1"/>
  <c r="L16" i="86" s="1"/>
  <c r="M13" i="85"/>
  <c r="L14" i="85"/>
  <c r="L15" i="85" s="1"/>
  <c r="L16" i="85" s="1"/>
  <c r="N13" i="84"/>
  <c r="M14" i="84"/>
  <c r="M15" i="84" s="1"/>
  <c r="M16" i="84" s="1"/>
  <c r="M13" i="83"/>
  <c r="L14" i="83"/>
  <c r="L15" i="83" s="1"/>
  <c r="L16" i="83" s="1"/>
  <c r="L13" i="82"/>
  <c r="K14" i="82"/>
  <c r="K15" i="82" s="1"/>
  <c r="K16" i="82" s="1"/>
  <c r="L13" i="81"/>
  <c r="K14" i="81"/>
  <c r="K15" i="81" s="1"/>
  <c r="K16" i="81" s="1"/>
  <c r="L13" i="80"/>
  <c r="K14" i="80"/>
  <c r="K15" i="80" s="1"/>
  <c r="K16" i="80" s="1"/>
  <c r="K13" i="79"/>
  <c r="J14" i="79"/>
  <c r="J15" i="79" s="1"/>
  <c r="J16" i="79" s="1"/>
  <c r="L13" i="78"/>
  <c r="K14" i="78"/>
  <c r="K15" i="78" s="1"/>
  <c r="K16" i="78" s="1"/>
  <c r="L13" i="77"/>
  <c r="K14" i="77"/>
  <c r="K15" i="77" s="1"/>
  <c r="K16" i="77" s="1"/>
  <c r="L13" i="76"/>
  <c r="K14" i="76"/>
  <c r="K15" i="76" s="1"/>
  <c r="K16" i="76" s="1"/>
  <c r="L13" i="75"/>
  <c r="K14" i="75"/>
  <c r="K15" i="75" s="1"/>
  <c r="K16" i="75" s="1"/>
  <c r="K13" i="74"/>
  <c r="J14" i="74"/>
  <c r="J15" i="74" s="1"/>
  <c r="J16" i="74" s="1"/>
  <c r="L13" i="73"/>
  <c r="K14" i="73"/>
  <c r="K15" i="73" s="1"/>
  <c r="K16" i="73" s="1"/>
  <c r="L13" i="72"/>
  <c r="K14" i="72"/>
  <c r="K15" i="72" s="1"/>
  <c r="K16" i="72" s="1"/>
  <c r="L13" i="71"/>
  <c r="K14" i="71"/>
  <c r="K15" i="71" s="1"/>
  <c r="K16" i="71" s="1"/>
  <c r="K14" i="70"/>
  <c r="K15" i="70" s="1"/>
  <c r="K16" i="70" s="1"/>
  <c r="L13" i="70"/>
  <c r="L13" i="69"/>
  <c r="K14" i="69"/>
  <c r="K15" i="69" s="1"/>
  <c r="K16" i="69" s="1"/>
  <c r="M13" i="68"/>
  <c r="L14" i="68"/>
  <c r="L15" i="68" s="1"/>
  <c r="L16" i="68" s="1"/>
  <c r="K14" i="67"/>
  <c r="K15" i="67" s="1"/>
  <c r="K16" i="67" s="1"/>
  <c r="L13" i="67"/>
  <c r="Q15" i="64"/>
  <c r="Q16" i="64" s="1"/>
  <c r="J14" i="66"/>
  <c r="J15" i="66" s="1"/>
  <c r="J16" i="66" s="1"/>
  <c r="K13" i="66"/>
  <c r="H14" i="65"/>
  <c r="H15" i="65" s="1"/>
  <c r="H16" i="65" s="1"/>
  <c r="I13" i="65"/>
  <c r="J13" i="65" s="1"/>
  <c r="F14" i="64"/>
  <c r="F15" i="64" s="1"/>
  <c r="F16" i="64" s="1"/>
  <c r="G13" i="64"/>
  <c r="I15" i="64"/>
  <c r="I16" i="64" s="1"/>
  <c r="E13" i="64"/>
  <c r="Q14" i="63"/>
  <c r="I14" i="63"/>
  <c r="AA13" i="63"/>
  <c r="E15" i="63" s="1"/>
  <c r="G13" i="63"/>
  <c r="G14" i="63" s="1"/>
  <c r="F13" i="63"/>
  <c r="F14" i="63" s="1"/>
  <c r="V13" i="109" l="1"/>
  <c r="U14" i="109"/>
  <c r="U15" i="109" s="1"/>
  <c r="U16" i="109" s="1"/>
  <c r="V13" i="108"/>
  <c r="U14" i="108"/>
  <c r="U15" i="108" s="1"/>
  <c r="U16" i="108" s="1"/>
  <c r="T13" i="107"/>
  <c r="S14" i="107"/>
  <c r="S15" i="107" s="1"/>
  <c r="S16" i="107" s="1"/>
  <c r="T14" i="106"/>
  <c r="T15" i="106" s="1"/>
  <c r="T16" i="106" s="1"/>
  <c r="U13" i="106"/>
  <c r="U13" i="105"/>
  <c r="T14" i="105"/>
  <c r="T15" i="105" s="1"/>
  <c r="T16" i="105" s="1"/>
  <c r="V13" i="104"/>
  <c r="U14" i="104"/>
  <c r="U15" i="104" s="1"/>
  <c r="U16" i="104" s="1"/>
  <c r="T13" i="103"/>
  <c r="S14" i="103"/>
  <c r="S15" i="103" s="1"/>
  <c r="S16" i="103" s="1"/>
  <c r="T13" i="102"/>
  <c r="S14" i="102"/>
  <c r="S15" i="102" s="1"/>
  <c r="S16" i="102" s="1"/>
  <c r="S13" i="101"/>
  <c r="R14" i="101"/>
  <c r="R15" i="101" s="1"/>
  <c r="R16" i="101" s="1"/>
  <c r="S14" i="100"/>
  <c r="S15" i="100" s="1"/>
  <c r="S16" i="100" s="1"/>
  <c r="T13" i="100"/>
  <c r="Q13" i="99"/>
  <c r="R13" i="99" s="1"/>
  <c r="P14" i="99"/>
  <c r="P15" i="99" s="1"/>
  <c r="P16" i="99" s="1"/>
  <c r="O14" i="98"/>
  <c r="O15" i="98" s="1"/>
  <c r="O16" i="98" s="1"/>
  <c r="P13" i="98"/>
  <c r="N14" i="97"/>
  <c r="N15" i="97" s="1"/>
  <c r="N16" i="97" s="1"/>
  <c r="O13" i="97"/>
  <c r="O14" i="96"/>
  <c r="O15" i="96" s="1"/>
  <c r="O16" i="96" s="1"/>
  <c r="P13" i="96"/>
  <c r="O14" i="95"/>
  <c r="O15" i="95" s="1"/>
  <c r="O16" i="95" s="1"/>
  <c r="P13" i="95"/>
  <c r="O13" i="94"/>
  <c r="N14" i="94"/>
  <c r="N15" i="94" s="1"/>
  <c r="N16" i="94" s="1"/>
  <c r="N13" i="93"/>
  <c r="M14" i="93"/>
  <c r="M15" i="93" s="1"/>
  <c r="M16" i="93" s="1"/>
  <c r="N13" i="92"/>
  <c r="M14" i="92"/>
  <c r="M15" i="92" s="1"/>
  <c r="M16" i="92" s="1"/>
  <c r="N13" i="91"/>
  <c r="M14" i="91"/>
  <c r="M15" i="91" s="1"/>
  <c r="M16" i="91" s="1"/>
  <c r="N13" i="90"/>
  <c r="M14" i="90"/>
  <c r="M15" i="90" s="1"/>
  <c r="M16" i="90" s="1"/>
  <c r="N13" i="89"/>
  <c r="M14" i="89"/>
  <c r="M15" i="89" s="1"/>
  <c r="M16" i="89" s="1"/>
  <c r="O13" i="88"/>
  <c r="N14" i="88"/>
  <c r="N15" i="88" s="1"/>
  <c r="N16" i="88" s="1"/>
  <c r="N13" i="87"/>
  <c r="M14" i="87"/>
  <c r="M15" i="87" s="1"/>
  <c r="M16" i="87" s="1"/>
  <c r="N13" i="86"/>
  <c r="M14" i="86"/>
  <c r="M15" i="86" s="1"/>
  <c r="M16" i="86" s="1"/>
  <c r="N13" i="85"/>
  <c r="M14" i="85"/>
  <c r="M15" i="85" s="1"/>
  <c r="M16" i="85" s="1"/>
  <c r="O13" i="84"/>
  <c r="N14" i="84"/>
  <c r="N15" i="84" s="1"/>
  <c r="N16" i="84" s="1"/>
  <c r="N13" i="83"/>
  <c r="M14" i="83"/>
  <c r="M15" i="83" s="1"/>
  <c r="M16" i="83" s="1"/>
  <c r="M13" i="82"/>
  <c r="L14" i="82"/>
  <c r="L15" i="82" s="1"/>
  <c r="L16" i="82" s="1"/>
  <c r="M13" i="81"/>
  <c r="L14" i="81"/>
  <c r="L15" i="81" s="1"/>
  <c r="L16" i="81" s="1"/>
  <c r="M13" i="80"/>
  <c r="L14" i="80"/>
  <c r="L15" i="80" s="1"/>
  <c r="L16" i="80" s="1"/>
  <c r="L13" i="79"/>
  <c r="K14" i="79"/>
  <c r="K15" i="79" s="1"/>
  <c r="K16" i="79" s="1"/>
  <c r="M13" i="78"/>
  <c r="L14" i="78"/>
  <c r="L15" i="78" s="1"/>
  <c r="L16" i="78" s="1"/>
  <c r="M13" i="77"/>
  <c r="L14" i="77"/>
  <c r="L15" i="77" s="1"/>
  <c r="L16" i="77" s="1"/>
  <c r="L14" i="76"/>
  <c r="L15" i="76" s="1"/>
  <c r="L16" i="76" s="1"/>
  <c r="M13" i="76"/>
  <c r="M13" i="75"/>
  <c r="L14" i="75"/>
  <c r="L15" i="75" s="1"/>
  <c r="L16" i="75" s="1"/>
  <c r="L13" i="74"/>
  <c r="K14" i="74"/>
  <c r="K15" i="74" s="1"/>
  <c r="K16" i="74" s="1"/>
  <c r="M13" i="73"/>
  <c r="L14" i="73"/>
  <c r="L15" i="73" s="1"/>
  <c r="L16" i="73" s="1"/>
  <c r="M13" i="72"/>
  <c r="L14" i="72"/>
  <c r="L15" i="72" s="1"/>
  <c r="L16" i="72" s="1"/>
  <c r="M13" i="71"/>
  <c r="L14" i="71"/>
  <c r="L15" i="71" s="1"/>
  <c r="L16" i="71" s="1"/>
  <c r="M13" i="70"/>
  <c r="L14" i="70"/>
  <c r="L15" i="70" s="1"/>
  <c r="L16" i="70" s="1"/>
  <c r="M13" i="69"/>
  <c r="L14" i="69"/>
  <c r="L15" i="69" s="1"/>
  <c r="L16" i="69" s="1"/>
  <c r="N13" i="68"/>
  <c r="M14" i="68"/>
  <c r="M15" i="68" s="1"/>
  <c r="M16" i="68" s="1"/>
  <c r="M13" i="67"/>
  <c r="L14" i="67"/>
  <c r="L15" i="67" s="1"/>
  <c r="L16" i="67" s="1"/>
  <c r="H13" i="63"/>
  <c r="H14" i="63" s="1"/>
  <c r="K14" i="66"/>
  <c r="K15" i="66" s="1"/>
  <c r="K16" i="66" s="1"/>
  <c r="L13" i="66"/>
  <c r="K13" i="65"/>
  <c r="J14" i="65"/>
  <c r="J15" i="65" s="1"/>
  <c r="J16" i="65" s="1"/>
  <c r="G14" i="64"/>
  <c r="G15" i="64" s="1"/>
  <c r="G16" i="64" s="1"/>
  <c r="H13" i="64"/>
  <c r="F15" i="63"/>
  <c r="F16" i="63" s="1"/>
  <c r="G15" i="63"/>
  <c r="G16" i="63" s="1"/>
  <c r="I15" i="63"/>
  <c r="I16" i="63" s="1"/>
  <c r="H15" i="63"/>
  <c r="H16" i="63" s="1"/>
  <c r="Q15" i="63"/>
  <c r="Q16" i="63" s="1"/>
  <c r="E13" i="63"/>
  <c r="I13" i="63"/>
  <c r="J13" i="63" s="1"/>
  <c r="E15" i="62"/>
  <c r="Q14" i="62"/>
  <c r="I14" i="62"/>
  <c r="AA13" i="62"/>
  <c r="F13" i="62"/>
  <c r="W13" i="109" l="1"/>
  <c r="V14" i="109"/>
  <c r="V15" i="109" s="1"/>
  <c r="V16" i="109" s="1"/>
  <c r="V14" i="108"/>
  <c r="V15" i="108" s="1"/>
  <c r="V16" i="108" s="1"/>
  <c r="W13" i="108"/>
  <c r="U13" i="107"/>
  <c r="T14" i="107"/>
  <c r="T15" i="107" s="1"/>
  <c r="T16" i="107" s="1"/>
  <c r="V13" i="106"/>
  <c r="U14" i="106"/>
  <c r="U15" i="106" s="1"/>
  <c r="U16" i="106" s="1"/>
  <c r="V13" i="105"/>
  <c r="U14" i="105"/>
  <c r="U15" i="105" s="1"/>
  <c r="U16" i="105" s="1"/>
  <c r="V14" i="104"/>
  <c r="V15" i="104" s="1"/>
  <c r="V16" i="104" s="1"/>
  <c r="W13" i="104"/>
  <c r="U13" i="103"/>
  <c r="T14" i="103"/>
  <c r="T15" i="103" s="1"/>
  <c r="T16" i="103" s="1"/>
  <c r="U13" i="102"/>
  <c r="T14" i="102"/>
  <c r="T15" i="102" s="1"/>
  <c r="T16" i="102" s="1"/>
  <c r="T13" i="101"/>
  <c r="S14" i="101"/>
  <c r="S15" i="101" s="1"/>
  <c r="S16" i="101" s="1"/>
  <c r="U13" i="100"/>
  <c r="T14" i="100"/>
  <c r="T15" i="100" s="1"/>
  <c r="T16" i="100" s="1"/>
  <c r="S13" i="99"/>
  <c r="R14" i="99"/>
  <c r="R15" i="99" s="1"/>
  <c r="R16" i="99" s="1"/>
  <c r="P14" i="98"/>
  <c r="P15" i="98" s="1"/>
  <c r="P16" i="98" s="1"/>
  <c r="Q13" i="98"/>
  <c r="R13" i="98" s="1"/>
  <c r="O14" i="97"/>
  <c r="O15" i="97" s="1"/>
  <c r="O16" i="97" s="1"/>
  <c r="P13" i="97"/>
  <c r="P14" i="96"/>
  <c r="P15" i="96" s="1"/>
  <c r="P16" i="96" s="1"/>
  <c r="Q13" i="96"/>
  <c r="R13" i="96" s="1"/>
  <c r="P14" i="95"/>
  <c r="P15" i="95" s="1"/>
  <c r="P16" i="95" s="1"/>
  <c r="Q13" i="95"/>
  <c r="R13" i="95" s="1"/>
  <c r="O14" i="94"/>
  <c r="O15" i="94" s="1"/>
  <c r="O16" i="94" s="1"/>
  <c r="P13" i="94"/>
  <c r="N14" i="93"/>
  <c r="N15" i="93" s="1"/>
  <c r="N16" i="93" s="1"/>
  <c r="O13" i="93"/>
  <c r="O13" i="92"/>
  <c r="N14" i="92"/>
  <c r="N15" i="92" s="1"/>
  <c r="N16" i="92" s="1"/>
  <c r="O13" i="91"/>
  <c r="N14" i="91"/>
  <c r="N15" i="91" s="1"/>
  <c r="N16" i="91" s="1"/>
  <c r="N14" i="90"/>
  <c r="N15" i="90" s="1"/>
  <c r="N16" i="90" s="1"/>
  <c r="O13" i="90"/>
  <c r="O13" i="89"/>
  <c r="N14" i="89"/>
  <c r="N15" i="89" s="1"/>
  <c r="N16" i="89" s="1"/>
  <c r="P13" i="88"/>
  <c r="O14" i="88"/>
  <c r="O15" i="88" s="1"/>
  <c r="O16" i="88" s="1"/>
  <c r="O13" i="87"/>
  <c r="N14" i="87"/>
  <c r="N15" i="87" s="1"/>
  <c r="N16" i="87" s="1"/>
  <c r="N14" i="86"/>
  <c r="N15" i="86" s="1"/>
  <c r="N16" i="86" s="1"/>
  <c r="O13" i="86"/>
  <c r="O13" i="85"/>
  <c r="N14" i="85"/>
  <c r="N15" i="85" s="1"/>
  <c r="N16" i="85" s="1"/>
  <c r="O14" i="84"/>
  <c r="O15" i="84" s="1"/>
  <c r="O16" i="84" s="1"/>
  <c r="P13" i="84"/>
  <c r="O13" i="83"/>
  <c r="N14" i="83"/>
  <c r="N15" i="83" s="1"/>
  <c r="N16" i="83" s="1"/>
  <c r="N13" i="82"/>
  <c r="M14" i="82"/>
  <c r="M15" i="82" s="1"/>
  <c r="M16" i="82" s="1"/>
  <c r="N13" i="81"/>
  <c r="M14" i="81"/>
  <c r="M15" i="81" s="1"/>
  <c r="M16" i="81" s="1"/>
  <c r="N13" i="80"/>
  <c r="M14" i="80"/>
  <c r="M15" i="80" s="1"/>
  <c r="M16" i="80" s="1"/>
  <c r="M13" i="79"/>
  <c r="L14" i="79"/>
  <c r="L15" i="79" s="1"/>
  <c r="L16" i="79" s="1"/>
  <c r="N13" i="78"/>
  <c r="M14" i="78"/>
  <c r="M15" i="78" s="1"/>
  <c r="M16" i="78" s="1"/>
  <c r="N13" i="77"/>
  <c r="M14" i="77"/>
  <c r="M15" i="77" s="1"/>
  <c r="M16" i="77" s="1"/>
  <c r="N13" i="76"/>
  <c r="M14" i="76"/>
  <c r="M15" i="76" s="1"/>
  <c r="M16" i="76" s="1"/>
  <c r="N13" i="75"/>
  <c r="M14" i="75"/>
  <c r="M15" i="75" s="1"/>
  <c r="M16" i="75" s="1"/>
  <c r="M13" i="74"/>
  <c r="L14" i="74"/>
  <c r="L15" i="74" s="1"/>
  <c r="L16" i="74" s="1"/>
  <c r="N13" i="73"/>
  <c r="M14" i="73"/>
  <c r="M15" i="73" s="1"/>
  <c r="M16" i="73" s="1"/>
  <c r="N13" i="72"/>
  <c r="M14" i="72"/>
  <c r="M15" i="72" s="1"/>
  <c r="M16" i="72" s="1"/>
  <c r="N13" i="71"/>
  <c r="M14" i="71"/>
  <c r="M15" i="71" s="1"/>
  <c r="M16" i="71" s="1"/>
  <c r="N13" i="70"/>
  <c r="M14" i="70"/>
  <c r="M15" i="70" s="1"/>
  <c r="M16" i="70" s="1"/>
  <c r="N13" i="69"/>
  <c r="M14" i="69"/>
  <c r="M15" i="69" s="1"/>
  <c r="M16" i="69" s="1"/>
  <c r="N14" i="68"/>
  <c r="N15" i="68" s="1"/>
  <c r="N16" i="68" s="1"/>
  <c r="O13" i="68"/>
  <c r="N13" i="67"/>
  <c r="M14" i="67"/>
  <c r="M15" i="67" s="1"/>
  <c r="M16" i="67" s="1"/>
  <c r="Q15" i="62"/>
  <c r="Q16" i="62" s="1"/>
  <c r="L14" i="66"/>
  <c r="L15" i="66" s="1"/>
  <c r="L16" i="66" s="1"/>
  <c r="M13" i="66"/>
  <c r="K14" i="65"/>
  <c r="K15" i="65" s="1"/>
  <c r="K16" i="65" s="1"/>
  <c r="L13" i="65"/>
  <c r="I13" i="64"/>
  <c r="J13" i="64" s="1"/>
  <c r="H14" i="64"/>
  <c r="H15" i="64" s="1"/>
  <c r="H16" i="64" s="1"/>
  <c r="K13" i="63"/>
  <c r="J14" i="63"/>
  <c r="J15" i="63" s="1"/>
  <c r="J16" i="63" s="1"/>
  <c r="F14" i="62"/>
  <c r="F15" i="62" s="1"/>
  <c r="F16" i="62" s="1"/>
  <c r="G13" i="62"/>
  <c r="I15" i="62"/>
  <c r="I16" i="62" s="1"/>
  <c r="E13" i="62"/>
  <c r="E15" i="61"/>
  <c r="Q14" i="61"/>
  <c r="I14" i="61"/>
  <c r="AA13" i="61"/>
  <c r="F13" i="61"/>
  <c r="F14" i="61" s="1"/>
  <c r="W14" i="109" l="1"/>
  <c r="W15" i="109" s="1"/>
  <c r="W16" i="109" s="1"/>
  <c r="X13" i="109"/>
  <c r="W14" i="108"/>
  <c r="W15" i="108" s="1"/>
  <c r="W16" i="108" s="1"/>
  <c r="X13" i="108"/>
  <c r="V13" i="107"/>
  <c r="U14" i="107"/>
  <c r="U15" i="107" s="1"/>
  <c r="U16" i="107" s="1"/>
  <c r="V14" i="106"/>
  <c r="V15" i="106" s="1"/>
  <c r="V16" i="106" s="1"/>
  <c r="W13" i="106"/>
  <c r="V14" i="105"/>
  <c r="V15" i="105" s="1"/>
  <c r="V16" i="105" s="1"/>
  <c r="W13" i="105"/>
  <c r="X13" i="104"/>
  <c r="W14" i="104"/>
  <c r="W15" i="104" s="1"/>
  <c r="W16" i="104" s="1"/>
  <c r="V13" i="103"/>
  <c r="U14" i="103"/>
  <c r="U15" i="103" s="1"/>
  <c r="U16" i="103" s="1"/>
  <c r="V13" i="102"/>
  <c r="U14" i="102"/>
  <c r="U15" i="102" s="1"/>
  <c r="U16" i="102" s="1"/>
  <c r="U13" i="101"/>
  <c r="T14" i="101"/>
  <c r="T15" i="101" s="1"/>
  <c r="T16" i="101" s="1"/>
  <c r="V13" i="100"/>
  <c r="U14" i="100"/>
  <c r="U15" i="100" s="1"/>
  <c r="U16" i="100" s="1"/>
  <c r="T13" i="99"/>
  <c r="S14" i="99"/>
  <c r="S15" i="99" s="1"/>
  <c r="S16" i="99" s="1"/>
  <c r="S13" i="98"/>
  <c r="R14" i="98"/>
  <c r="R15" i="98" s="1"/>
  <c r="R16" i="98" s="1"/>
  <c r="P14" i="97"/>
  <c r="P15" i="97" s="1"/>
  <c r="P16" i="97" s="1"/>
  <c r="Q13" i="97"/>
  <c r="R13" i="97" s="1"/>
  <c r="S13" i="96"/>
  <c r="R14" i="96"/>
  <c r="R15" i="96" s="1"/>
  <c r="R16" i="96" s="1"/>
  <c r="S13" i="95"/>
  <c r="R14" i="95"/>
  <c r="R15" i="95" s="1"/>
  <c r="R16" i="95" s="1"/>
  <c r="P14" i="94"/>
  <c r="P15" i="94" s="1"/>
  <c r="P16" i="94" s="1"/>
  <c r="Q13" i="94"/>
  <c r="R13" i="94" s="1"/>
  <c r="P13" i="93"/>
  <c r="O14" i="93"/>
  <c r="O15" i="93" s="1"/>
  <c r="O16" i="93" s="1"/>
  <c r="O14" i="92"/>
  <c r="O15" i="92" s="1"/>
  <c r="O16" i="92" s="1"/>
  <c r="P13" i="92"/>
  <c r="O14" i="91"/>
  <c r="O15" i="91" s="1"/>
  <c r="O16" i="91" s="1"/>
  <c r="P13" i="91"/>
  <c r="O14" i="90"/>
  <c r="O15" i="90" s="1"/>
  <c r="O16" i="90" s="1"/>
  <c r="P13" i="90"/>
  <c r="O14" i="89"/>
  <c r="O15" i="89" s="1"/>
  <c r="O16" i="89" s="1"/>
  <c r="P13" i="89"/>
  <c r="P14" i="88"/>
  <c r="P15" i="88" s="1"/>
  <c r="P16" i="88" s="1"/>
  <c r="Q13" i="88"/>
  <c r="R13" i="88" s="1"/>
  <c r="O14" i="87"/>
  <c r="O15" i="87" s="1"/>
  <c r="O16" i="87" s="1"/>
  <c r="P13" i="87"/>
  <c r="O14" i="86"/>
  <c r="O15" i="86" s="1"/>
  <c r="O16" i="86" s="1"/>
  <c r="P13" i="86"/>
  <c r="O14" i="85"/>
  <c r="O15" i="85" s="1"/>
  <c r="O16" i="85" s="1"/>
  <c r="P13" i="85"/>
  <c r="P14" i="84"/>
  <c r="P15" i="84" s="1"/>
  <c r="P16" i="84" s="1"/>
  <c r="Q13" i="84"/>
  <c r="R13" i="84" s="1"/>
  <c r="O14" i="83"/>
  <c r="O15" i="83" s="1"/>
  <c r="O16" i="83" s="1"/>
  <c r="P13" i="83"/>
  <c r="N14" i="82"/>
  <c r="N15" i="82" s="1"/>
  <c r="N16" i="82" s="1"/>
  <c r="O13" i="82"/>
  <c r="O13" i="81"/>
  <c r="N14" i="81"/>
  <c r="N15" i="81" s="1"/>
  <c r="N16" i="81" s="1"/>
  <c r="N14" i="80"/>
  <c r="N15" i="80" s="1"/>
  <c r="N16" i="80" s="1"/>
  <c r="O13" i="80"/>
  <c r="M14" i="79"/>
  <c r="M15" i="79" s="1"/>
  <c r="M16" i="79" s="1"/>
  <c r="N13" i="79"/>
  <c r="N14" i="78"/>
  <c r="N15" i="78" s="1"/>
  <c r="N16" i="78" s="1"/>
  <c r="O13" i="78"/>
  <c r="N14" i="77"/>
  <c r="N15" i="77" s="1"/>
  <c r="N16" i="77" s="1"/>
  <c r="O13" i="77"/>
  <c r="O13" i="76"/>
  <c r="N14" i="76"/>
  <c r="N15" i="76" s="1"/>
  <c r="N16" i="76" s="1"/>
  <c r="N14" i="75"/>
  <c r="N15" i="75" s="1"/>
  <c r="N16" i="75" s="1"/>
  <c r="O13" i="75"/>
  <c r="M14" i="74"/>
  <c r="M15" i="74" s="1"/>
  <c r="M16" i="74" s="1"/>
  <c r="N13" i="74"/>
  <c r="O13" i="73"/>
  <c r="N14" i="73"/>
  <c r="N15" i="73" s="1"/>
  <c r="N16" i="73" s="1"/>
  <c r="N14" i="72"/>
  <c r="N15" i="72" s="1"/>
  <c r="N16" i="72" s="1"/>
  <c r="O13" i="72"/>
  <c r="O13" i="71"/>
  <c r="N14" i="71"/>
  <c r="N15" i="71" s="1"/>
  <c r="N16" i="71" s="1"/>
  <c r="O13" i="70"/>
  <c r="N14" i="70"/>
  <c r="N15" i="70" s="1"/>
  <c r="N16" i="70" s="1"/>
  <c r="N14" i="69"/>
  <c r="N15" i="69" s="1"/>
  <c r="N16" i="69" s="1"/>
  <c r="O13" i="69"/>
  <c r="O14" i="68"/>
  <c r="O15" i="68" s="1"/>
  <c r="O16" i="68" s="1"/>
  <c r="P13" i="68"/>
  <c r="O13" i="67"/>
  <c r="N14" i="67"/>
  <c r="N15" i="67" s="1"/>
  <c r="N16" i="67" s="1"/>
  <c r="Q15" i="61"/>
  <c r="Q16" i="61" s="1"/>
  <c r="F15" i="61"/>
  <c r="F16" i="61" s="1"/>
  <c r="N13" i="66"/>
  <c r="M14" i="66"/>
  <c r="M15" i="66" s="1"/>
  <c r="M16" i="66" s="1"/>
  <c r="L14" i="65"/>
  <c r="L15" i="65" s="1"/>
  <c r="L16" i="65" s="1"/>
  <c r="M13" i="65"/>
  <c r="J14" i="64"/>
  <c r="J15" i="64" s="1"/>
  <c r="J16" i="64" s="1"/>
  <c r="K13" i="64"/>
  <c r="K14" i="63"/>
  <c r="K15" i="63" s="1"/>
  <c r="K16" i="63" s="1"/>
  <c r="L13" i="63"/>
  <c r="G14" i="62"/>
  <c r="G15" i="62" s="1"/>
  <c r="G16" i="62" s="1"/>
  <c r="H13" i="62"/>
  <c r="I15" i="61"/>
  <c r="I16" i="61" s="1"/>
  <c r="G13" i="61"/>
  <c r="E13" i="61"/>
  <c r="Q14" i="60"/>
  <c r="I14" i="60"/>
  <c r="AA13" i="60"/>
  <c r="E15" i="60" s="1"/>
  <c r="F13" i="60"/>
  <c r="F14" i="60" s="1"/>
  <c r="X14" i="109" l="1"/>
  <c r="X15" i="109" s="1"/>
  <c r="X16" i="109" s="1"/>
  <c r="Y13" i="109"/>
  <c r="X14" i="108"/>
  <c r="X15" i="108" s="1"/>
  <c r="X16" i="108" s="1"/>
  <c r="Y13" i="108"/>
  <c r="V14" i="107"/>
  <c r="V15" i="107" s="1"/>
  <c r="V16" i="107" s="1"/>
  <c r="W13" i="107"/>
  <c r="W14" i="106"/>
  <c r="W15" i="106" s="1"/>
  <c r="W16" i="106" s="1"/>
  <c r="X13" i="106"/>
  <c r="W14" i="105"/>
  <c r="W15" i="105" s="1"/>
  <c r="W16" i="105" s="1"/>
  <c r="X13" i="105"/>
  <c r="X14" i="104"/>
  <c r="X15" i="104" s="1"/>
  <c r="X16" i="104" s="1"/>
  <c r="Y13" i="104"/>
  <c r="V14" i="103"/>
  <c r="V15" i="103" s="1"/>
  <c r="V16" i="103" s="1"/>
  <c r="W13" i="103"/>
  <c r="V14" i="102"/>
  <c r="V15" i="102" s="1"/>
  <c r="V16" i="102" s="1"/>
  <c r="W13" i="102"/>
  <c r="V13" i="101"/>
  <c r="U14" i="101"/>
  <c r="U15" i="101" s="1"/>
  <c r="U16" i="101" s="1"/>
  <c r="V14" i="100"/>
  <c r="V15" i="100" s="1"/>
  <c r="V16" i="100" s="1"/>
  <c r="W13" i="100"/>
  <c r="U13" i="99"/>
  <c r="T14" i="99"/>
  <c r="T15" i="99" s="1"/>
  <c r="T16" i="99" s="1"/>
  <c r="T13" i="98"/>
  <c r="S14" i="98"/>
  <c r="S15" i="98" s="1"/>
  <c r="S16" i="98" s="1"/>
  <c r="S13" i="97"/>
  <c r="R14" i="97"/>
  <c r="R15" i="97" s="1"/>
  <c r="R16" i="97" s="1"/>
  <c r="T13" i="96"/>
  <c r="S14" i="96"/>
  <c r="S15" i="96" s="1"/>
  <c r="S16" i="96" s="1"/>
  <c r="T13" i="95"/>
  <c r="S14" i="95"/>
  <c r="S15" i="95" s="1"/>
  <c r="S16" i="95" s="1"/>
  <c r="S13" i="94"/>
  <c r="R14" i="94"/>
  <c r="R15" i="94" s="1"/>
  <c r="R16" i="94" s="1"/>
  <c r="P14" i="93"/>
  <c r="P15" i="93" s="1"/>
  <c r="P16" i="93" s="1"/>
  <c r="Q13" i="93"/>
  <c r="R13" i="93" s="1"/>
  <c r="P14" i="92"/>
  <c r="P15" i="92" s="1"/>
  <c r="P16" i="92" s="1"/>
  <c r="Q13" i="92"/>
  <c r="R13" i="92" s="1"/>
  <c r="P14" i="91"/>
  <c r="P15" i="91" s="1"/>
  <c r="P16" i="91" s="1"/>
  <c r="Q13" i="91"/>
  <c r="R13" i="91" s="1"/>
  <c r="P14" i="90"/>
  <c r="P15" i="90" s="1"/>
  <c r="P16" i="90" s="1"/>
  <c r="Q13" i="90"/>
  <c r="R13" i="90" s="1"/>
  <c r="P14" i="89"/>
  <c r="P15" i="89" s="1"/>
  <c r="P16" i="89" s="1"/>
  <c r="Q13" i="89"/>
  <c r="R13" i="89" s="1"/>
  <c r="S13" i="88"/>
  <c r="R14" i="88"/>
  <c r="R15" i="88" s="1"/>
  <c r="R16" i="88" s="1"/>
  <c r="P14" i="87"/>
  <c r="P15" i="87" s="1"/>
  <c r="P16" i="87" s="1"/>
  <c r="Q13" i="87"/>
  <c r="R13" i="87" s="1"/>
  <c r="P14" i="86"/>
  <c r="P15" i="86" s="1"/>
  <c r="P16" i="86" s="1"/>
  <c r="Q13" i="86"/>
  <c r="R13" i="86" s="1"/>
  <c r="P14" i="85"/>
  <c r="P15" i="85" s="1"/>
  <c r="P16" i="85" s="1"/>
  <c r="Q13" i="85"/>
  <c r="R13" i="85" s="1"/>
  <c r="S13" i="84"/>
  <c r="R14" i="84"/>
  <c r="R15" i="84" s="1"/>
  <c r="R16" i="84" s="1"/>
  <c r="P14" i="83"/>
  <c r="P15" i="83" s="1"/>
  <c r="P16" i="83" s="1"/>
  <c r="Q13" i="83"/>
  <c r="R13" i="83" s="1"/>
  <c r="O14" i="82"/>
  <c r="O15" i="82" s="1"/>
  <c r="O16" i="82" s="1"/>
  <c r="P13" i="82"/>
  <c r="O14" i="81"/>
  <c r="O15" i="81" s="1"/>
  <c r="O16" i="81" s="1"/>
  <c r="P13" i="81"/>
  <c r="O14" i="80"/>
  <c r="O15" i="80" s="1"/>
  <c r="O16" i="80" s="1"/>
  <c r="P13" i="80"/>
  <c r="N14" i="79"/>
  <c r="N15" i="79" s="1"/>
  <c r="N16" i="79" s="1"/>
  <c r="O13" i="79"/>
  <c r="O14" i="78"/>
  <c r="O15" i="78" s="1"/>
  <c r="O16" i="78" s="1"/>
  <c r="P13" i="78"/>
  <c r="O14" i="77"/>
  <c r="O15" i="77" s="1"/>
  <c r="O16" i="77" s="1"/>
  <c r="P13" i="77"/>
  <c r="O14" i="76"/>
  <c r="O15" i="76" s="1"/>
  <c r="O16" i="76" s="1"/>
  <c r="P13" i="76"/>
  <c r="O14" i="75"/>
  <c r="O15" i="75" s="1"/>
  <c r="O16" i="75" s="1"/>
  <c r="P13" i="75"/>
  <c r="N14" i="74"/>
  <c r="N15" i="74" s="1"/>
  <c r="N16" i="74" s="1"/>
  <c r="O13" i="74"/>
  <c r="O14" i="73"/>
  <c r="O15" i="73" s="1"/>
  <c r="O16" i="73" s="1"/>
  <c r="P13" i="73"/>
  <c r="P13" i="72"/>
  <c r="O14" i="72"/>
  <c r="O15" i="72" s="1"/>
  <c r="O16" i="72" s="1"/>
  <c r="O14" i="71"/>
  <c r="O15" i="71" s="1"/>
  <c r="O16" i="71" s="1"/>
  <c r="P13" i="71"/>
  <c r="O14" i="70"/>
  <c r="O15" i="70" s="1"/>
  <c r="O16" i="70" s="1"/>
  <c r="P13" i="70"/>
  <c r="O14" i="69"/>
  <c r="O15" i="69" s="1"/>
  <c r="O16" i="69" s="1"/>
  <c r="P13" i="69"/>
  <c r="P14" i="68"/>
  <c r="P15" i="68" s="1"/>
  <c r="P16" i="68" s="1"/>
  <c r="Q13" i="68"/>
  <c r="R13" i="68" s="1"/>
  <c r="O14" i="67"/>
  <c r="O15" i="67" s="1"/>
  <c r="O16" i="67" s="1"/>
  <c r="P13" i="67"/>
  <c r="G13" i="60"/>
  <c r="G14" i="60" s="1"/>
  <c r="G15" i="60" s="1"/>
  <c r="G16" i="60" s="1"/>
  <c r="F15" i="60"/>
  <c r="F16" i="60" s="1"/>
  <c r="N14" i="66"/>
  <c r="N15" i="66" s="1"/>
  <c r="N16" i="66" s="1"/>
  <c r="O13" i="66"/>
  <c r="M14" i="65"/>
  <c r="M15" i="65" s="1"/>
  <c r="M16" i="65" s="1"/>
  <c r="N13" i="65"/>
  <c r="K14" i="64"/>
  <c r="K15" i="64" s="1"/>
  <c r="K16" i="64" s="1"/>
  <c r="L13" i="64"/>
  <c r="L14" i="63"/>
  <c r="L15" i="63" s="1"/>
  <c r="L16" i="63" s="1"/>
  <c r="M13" i="63"/>
  <c r="I13" i="62"/>
  <c r="J13" i="62" s="1"/>
  <c r="H14" i="62"/>
  <c r="H15" i="62" s="1"/>
  <c r="H16" i="62" s="1"/>
  <c r="G14" i="61"/>
  <c r="G15" i="61" s="1"/>
  <c r="G16" i="61" s="1"/>
  <c r="H13" i="61"/>
  <c r="I15" i="60"/>
  <c r="I16" i="60" s="1"/>
  <c r="Q15" i="60"/>
  <c r="Q16" i="60" s="1"/>
  <c r="H13" i="60"/>
  <c r="E13" i="60"/>
  <c r="Q14" i="59"/>
  <c r="I14" i="59"/>
  <c r="AA13" i="59"/>
  <c r="E15" i="59" s="1"/>
  <c r="Q15" i="59" s="1"/>
  <c r="Q16" i="59" s="1"/>
  <c r="F13" i="59"/>
  <c r="Z13" i="109" l="1"/>
  <c r="Y14" i="109"/>
  <c r="Y15" i="109" s="1"/>
  <c r="Y16" i="109" s="1"/>
  <c r="Y14" i="108"/>
  <c r="Y15" i="108" s="1"/>
  <c r="Y16" i="108" s="1"/>
  <c r="Z13" i="108"/>
  <c r="W14" i="107"/>
  <c r="W15" i="107" s="1"/>
  <c r="W16" i="107" s="1"/>
  <c r="X13" i="107"/>
  <c r="X14" i="106"/>
  <c r="X15" i="106" s="1"/>
  <c r="X16" i="106" s="1"/>
  <c r="Y13" i="106"/>
  <c r="X14" i="105"/>
  <c r="X15" i="105" s="1"/>
  <c r="X16" i="105" s="1"/>
  <c r="Y13" i="105"/>
  <c r="Y14" i="104"/>
  <c r="Y15" i="104" s="1"/>
  <c r="Y16" i="104" s="1"/>
  <c r="Z13" i="104"/>
  <c r="W14" i="103"/>
  <c r="W15" i="103" s="1"/>
  <c r="W16" i="103" s="1"/>
  <c r="X13" i="103"/>
  <c r="W14" i="102"/>
  <c r="W15" i="102" s="1"/>
  <c r="W16" i="102" s="1"/>
  <c r="X13" i="102"/>
  <c r="V14" i="101"/>
  <c r="V15" i="101" s="1"/>
  <c r="V16" i="101" s="1"/>
  <c r="W13" i="101"/>
  <c r="W14" i="100"/>
  <c r="W15" i="100" s="1"/>
  <c r="W16" i="100" s="1"/>
  <c r="X13" i="100"/>
  <c r="V13" i="99"/>
  <c r="U14" i="99"/>
  <c r="U15" i="99" s="1"/>
  <c r="U16" i="99" s="1"/>
  <c r="T14" i="98"/>
  <c r="T15" i="98" s="1"/>
  <c r="T16" i="98" s="1"/>
  <c r="U13" i="98"/>
  <c r="T13" i="97"/>
  <c r="S14" i="97"/>
  <c r="S15" i="97" s="1"/>
  <c r="S16" i="97" s="1"/>
  <c r="U13" i="96"/>
  <c r="T14" i="96"/>
  <c r="T15" i="96" s="1"/>
  <c r="T16" i="96" s="1"/>
  <c r="U13" i="95"/>
  <c r="T14" i="95"/>
  <c r="T15" i="95" s="1"/>
  <c r="T16" i="95" s="1"/>
  <c r="T13" i="94"/>
  <c r="S14" i="94"/>
  <c r="S15" i="94" s="1"/>
  <c r="S16" i="94" s="1"/>
  <c r="S13" i="93"/>
  <c r="R14" i="93"/>
  <c r="R15" i="93" s="1"/>
  <c r="R16" i="93" s="1"/>
  <c r="S13" i="92"/>
  <c r="R14" i="92"/>
  <c r="R15" i="92" s="1"/>
  <c r="R16" i="92" s="1"/>
  <c r="S13" i="91"/>
  <c r="R14" i="91"/>
  <c r="R15" i="91" s="1"/>
  <c r="R16" i="91" s="1"/>
  <c r="S13" i="90"/>
  <c r="R14" i="90"/>
  <c r="R15" i="90" s="1"/>
  <c r="R16" i="90" s="1"/>
  <c r="S13" i="89"/>
  <c r="R14" i="89"/>
  <c r="R15" i="89" s="1"/>
  <c r="R16" i="89" s="1"/>
  <c r="T13" i="88"/>
  <c r="S14" i="88"/>
  <c r="S15" i="88" s="1"/>
  <c r="S16" i="88" s="1"/>
  <c r="S13" i="87"/>
  <c r="R14" i="87"/>
  <c r="R15" i="87" s="1"/>
  <c r="R16" i="87" s="1"/>
  <c r="S13" i="86"/>
  <c r="R14" i="86"/>
  <c r="R15" i="86" s="1"/>
  <c r="R16" i="86" s="1"/>
  <c r="R14" i="85"/>
  <c r="R15" i="85" s="1"/>
  <c r="R16" i="85" s="1"/>
  <c r="S13" i="85"/>
  <c r="T13" i="84"/>
  <c r="S14" i="84"/>
  <c r="S15" i="84" s="1"/>
  <c r="S16" i="84" s="1"/>
  <c r="S13" i="83"/>
  <c r="R14" i="83"/>
  <c r="R15" i="83" s="1"/>
  <c r="R16" i="83" s="1"/>
  <c r="P14" i="82"/>
  <c r="P15" i="82" s="1"/>
  <c r="P16" i="82" s="1"/>
  <c r="Q13" i="82"/>
  <c r="R13" i="82" s="1"/>
  <c r="P14" i="81"/>
  <c r="P15" i="81" s="1"/>
  <c r="P16" i="81" s="1"/>
  <c r="Q13" i="81"/>
  <c r="R13" i="81" s="1"/>
  <c r="P14" i="80"/>
  <c r="P15" i="80" s="1"/>
  <c r="P16" i="80" s="1"/>
  <c r="Q13" i="80"/>
  <c r="R13" i="80" s="1"/>
  <c r="O14" i="79"/>
  <c r="O15" i="79" s="1"/>
  <c r="O16" i="79" s="1"/>
  <c r="P13" i="79"/>
  <c r="P14" i="78"/>
  <c r="P15" i="78" s="1"/>
  <c r="P16" i="78" s="1"/>
  <c r="Q13" i="78"/>
  <c r="R13" i="78" s="1"/>
  <c r="P14" i="77"/>
  <c r="P15" i="77" s="1"/>
  <c r="P16" i="77" s="1"/>
  <c r="Q13" i="77"/>
  <c r="R13" i="77" s="1"/>
  <c r="P14" i="76"/>
  <c r="P15" i="76" s="1"/>
  <c r="P16" i="76" s="1"/>
  <c r="Q13" i="76"/>
  <c r="R13" i="76" s="1"/>
  <c r="P14" i="75"/>
  <c r="P15" i="75" s="1"/>
  <c r="P16" i="75" s="1"/>
  <c r="Q13" i="75"/>
  <c r="R13" i="75" s="1"/>
  <c r="O14" i="74"/>
  <c r="O15" i="74" s="1"/>
  <c r="O16" i="74" s="1"/>
  <c r="P13" i="74"/>
  <c r="P14" i="73"/>
  <c r="P15" i="73" s="1"/>
  <c r="P16" i="73" s="1"/>
  <c r="Q13" i="73"/>
  <c r="R13" i="73" s="1"/>
  <c r="P14" i="72"/>
  <c r="P15" i="72" s="1"/>
  <c r="P16" i="72" s="1"/>
  <c r="Q13" i="72"/>
  <c r="R13" i="72" s="1"/>
  <c r="P14" i="71"/>
  <c r="P15" i="71" s="1"/>
  <c r="P16" i="71" s="1"/>
  <c r="Q13" i="71"/>
  <c r="R13" i="71" s="1"/>
  <c r="P14" i="70"/>
  <c r="P15" i="70" s="1"/>
  <c r="P16" i="70" s="1"/>
  <c r="Q13" i="70"/>
  <c r="R13" i="70" s="1"/>
  <c r="P14" i="69"/>
  <c r="P15" i="69" s="1"/>
  <c r="P16" i="69" s="1"/>
  <c r="Q13" i="69"/>
  <c r="R13" i="69" s="1"/>
  <c r="S13" i="68"/>
  <c r="R14" i="68"/>
  <c r="R15" i="68" s="1"/>
  <c r="R16" i="68" s="1"/>
  <c r="P14" i="67"/>
  <c r="P15" i="67" s="1"/>
  <c r="P16" i="67" s="1"/>
  <c r="Q13" i="67"/>
  <c r="R13" i="67" s="1"/>
  <c r="O14" i="66"/>
  <c r="O15" i="66" s="1"/>
  <c r="O16" i="66" s="1"/>
  <c r="P13" i="66"/>
  <c r="O13" i="65"/>
  <c r="N14" i="65"/>
  <c r="N15" i="65" s="1"/>
  <c r="N16" i="65" s="1"/>
  <c r="M13" i="64"/>
  <c r="L14" i="64"/>
  <c r="L15" i="64" s="1"/>
  <c r="L16" i="64" s="1"/>
  <c r="M14" i="63"/>
  <c r="M15" i="63" s="1"/>
  <c r="M16" i="63" s="1"/>
  <c r="N13" i="63"/>
  <c r="J14" i="62"/>
  <c r="J15" i="62" s="1"/>
  <c r="J16" i="62" s="1"/>
  <c r="K13" i="62"/>
  <c r="I13" i="61"/>
  <c r="J13" i="61" s="1"/>
  <c r="H14" i="61"/>
  <c r="H15" i="61" s="1"/>
  <c r="H16" i="61" s="1"/>
  <c r="H14" i="60"/>
  <c r="H15" i="60" s="1"/>
  <c r="H16" i="60" s="1"/>
  <c r="I13" i="60"/>
  <c r="J13" i="60" s="1"/>
  <c r="F14" i="59"/>
  <c r="F15" i="59" s="1"/>
  <c r="F16" i="59" s="1"/>
  <c r="G13" i="59"/>
  <c r="I15" i="59"/>
  <c r="I16" i="59" s="1"/>
  <c r="E13" i="59"/>
  <c r="Q14" i="58"/>
  <c r="I14" i="58"/>
  <c r="AA13" i="58"/>
  <c r="E15" i="58" s="1"/>
  <c r="Q15" i="58" s="1"/>
  <c r="Q16" i="58" s="1"/>
  <c r="F13" i="58"/>
  <c r="G13" i="58" s="1"/>
  <c r="E13" i="58"/>
  <c r="AA14" i="109" l="1"/>
  <c r="AA15" i="109" s="1"/>
  <c r="AA16" i="109" s="1"/>
  <c r="Z14" i="109"/>
  <c r="Z15" i="109" s="1"/>
  <c r="Z16" i="109" s="1"/>
  <c r="E17" i="109" s="1"/>
  <c r="AA14" i="108"/>
  <c r="AA15" i="108" s="1"/>
  <c r="AA16" i="108" s="1"/>
  <c r="Z14" i="108"/>
  <c r="Z15" i="108" s="1"/>
  <c r="Z16" i="108" s="1"/>
  <c r="E17" i="108" s="1"/>
  <c r="X14" i="107"/>
  <c r="X15" i="107" s="1"/>
  <c r="X16" i="107" s="1"/>
  <c r="Y13" i="107"/>
  <c r="Z13" i="106"/>
  <c r="Y14" i="106"/>
  <c r="Y15" i="106" s="1"/>
  <c r="Y16" i="106" s="1"/>
  <c r="Z13" i="105"/>
  <c r="Y14" i="105"/>
  <c r="Y15" i="105" s="1"/>
  <c r="Y16" i="105" s="1"/>
  <c r="AA14" i="104"/>
  <c r="AA15" i="104" s="1"/>
  <c r="AA16" i="104" s="1"/>
  <c r="Z14" i="104"/>
  <c r="Z15" i="104" s="1"/>
  <c r="Z16" i="104" s="1"/>
  <c r="E17" i="104" s="1"/>
  <c r="X14" i="103"/>
  <c r="X15" i="103" s="1"/>
  <c r="X16" i="103" s="1"/>
  <c r="Y13" i="103"/>
  <c r="X14" i="102"/>
  <c r="X15" i="102" s="1"/>
  <c r="X16" i="102" s="1"/>
  <c r="Y13" i="102"/>
  <c r="W14" i="101"/>
  <c r="W15" i="101" s="1"/>
  <c r="W16" i="101" s="1"/>
  <c r="X13" i="101"/>
  <c r="X14" i="100"/>
  <c r="X15" i="100" s="1"/>
  <c r="X16" i="100" s="1"/>
  <c r="Y13" i="100"/>
  <c r="V14" i="99"/>
  <c r="V15" i="99" s="1"/>
  <c r="V16" i="99" s="1"/>
  <c r="W13" i="99"/>
  <c r="V13" i="98"/>
  <c r="U14" i="98"/>
  <c r="U15" i="98" s="1"/>
  <c r="U16" i="98" s="1"/>
  <c r="T14" i="97"/>
  <c r="T15" i="97" s="1"/>
  <c r="T16" i="97" s="1"/>
  <c r="U13" i="97"/>
  <c r="V13" i="96"/>
  <c r="U14" i="96"/>
  <c r="U15" i="96" s="1"/>
  <c r="U16" i="96" s="1"/>
  <c r="V13" i="95"/>
  <c r="U14" i="95"/>
  <c r="U15" i="95" s="1"/>
  <c r="U16" i="95" s="1"/>
  <c r="U13" i="94"/>
  <c r="T14" i="94"/>
  <c r="T15" i="94" s="1"/>
  <c r="T16" i="94" s="1"/>
  <c r="T13" i="93"/>
  <c r="S14" i="93"/>
  <c r="S15" i="93" s="1"/>
  <c r="S16" i="93" s="1"/>
  <c r="T13" i="92"/>
  <c r="S14" i="92"/>
  <c r="S15" i="92" s="1"/>
  <c r="S16" i="92" s="1"/>
  <c r="T13" i="91"/>
  <c r="S14" i="91"/>
  <c r="S15" i="91" s="1"/>
  <c r="S16" i="91" s="1"/>
  <c r="S14" i="90"/>
  <c r="S15" i="90" s="1"/>
  <c r="S16" i="90" s="1"/>
  <c r="T13" i="90"/>
  <c r="T13" i="89"/>
  <c r="S14" i="89"/>
  <c r="S15" i="89" s="1"/>
  <c r="S16" i="89" s="1"/>
  <c r="U13" i="88"/>
  <c r="T14" i="88"/>
  <c r="T15" i="88" s="1"/>
  <c r="T16" i="88" s="1"/>
  <c r="T13" i="87"/>
  <c r="S14" i="87"/>
  <c r="S15" i="87" s="1"/>
  <c r="S16" i="87" s="1"/>
  <c r="T13" i="86"/>
  <c r="S14" i="86"/>
  <c r="S15" i="86" s="1"/>
  <c r="S16" i="86" s="1"/>
  <c r="S14" i="85"/>
  <c r="S15" i="85" s="1"/>
  <c r="S16" i="85" s="1"/>
  <c r="T13" i="85"/>
  <c r="U13" i="84"/>
  <c r="T14" i="84"/>
  <c r="T15" i="84" s="1"/>
  <c r="T16" i="84" s="1"/>
  <c r="S14" i="83"/>
  <c r="S15" i="83" s="1"/>
  <c r="S16" i="83" s="1"/>
  <c r="T13" i="83"/>
  <c r="S13" i="82"/>
  <c r="R14" i="82"/>
  <c r="R15" i="82" s="1"/>
  <c r="R16" i="82" s="1"/>
  <c r="S13" i="81"/>
  <c r="R14" i="81"/>
  <c r="R15" i="81" s="1"/>
  <c r="R16" i="81" s="1"/>
  <c r="S13" i="80"/>
  <c r="R14" i="80"/>
  <c r="R15" i="80" s="1"/>
  <c r="R16" i="80" s="1"/>
  <c r="P14" i="79"/>
  <c r="P15" i="79" s="1"/>
  <c r="P16" i="79" s="1"/>
  <c r="Q13" i="79"/>
  <c r="R13" i="79" s="1"/>
  <c r="S13" i="78"/>
  <c r="R14" i="78"/>
  <c r="R15" i="78" s="1"/>
  <c r="R16" i="78" s="1"/>
  <c r="S13" i="77"/>
  <c r="R14" i="77"/>
  <c r="R15" i="77" s="1"/>
  <c r="R16" i="77" s="1"/>
  <c r="S13" i="76"/>
  <c r="R14" i="76"/>
  <c r="R15" i="76" s="1"/>
  <c r="R16" i="76" s="1"/>
  <c r="S13" i="75"/>
  <c r="R14" i="75"/>
  <c r="R15" i="75" s="1"/>
  <c r="R16" i="75" s="1"/>
  <c r="Q13" i="74"/>
  <c r="R13" i="74" s="1"/>
  <c r="P14" i="74"/>
  <c r="P15" i="74" s="1"/>
  <c r="P16" i="74" s="1"/>
  <c r="S13" i="73"/>
  <c r="R14" i="73"/>
  <c r="R15" i="73" s="1"/>
  <c r="R16" i="73" s="1"/>
  <c r="S13" i="72"/>
  <c r="R14" i="72"/>
  <c r="R15" i="72" s="1"/>
  <c r="R16" i="72" s="1"/>
  <c r="S13" i="71"/>
  <c r="R14" i="71"/>
  <c r="R15" i="71" s="1"/>
  <c r="R16" i="71" s="1"/>
  <c r="S13" i="70"/>
  <c r="R14" i="70"/>
  <c r="R15" i="70" s="1"/>
  <c r="R16" i="70" s="1"/>
  <c r="S13" i="69"/>
  <c r="R14" i="69"/>
  <c r="R15" i="69" s="1"/>
  <c r="R16" i="69" s="1"/>
  <c r="T13" i="68"/>
  <c r="S14" i="68"/>
  <c r="S15" i="68" s="1"/>
  <c r="S16" i="68" s="1"/>
  <c r="S13" i="67"/>
  <c r="R14" i="67"/>
  <c r="R15" i="67" s="1"/>
  <c r="R16" i="67" s="1"/>
  <c r="F14" i="58"/>
  <c r="F15" i="58" s="1"/>
  <c r="F16" i="58" s="1"/>
  <c r="P14" i="66"/>
  <c r="P15" i="66" s="1"/>
  <c r="P16" i="66" s="1"/>
  <c r="Q13" i="66"/>
  <c r="R13" i="66" s="1"/>
  <c r="O14" i="65"/>
  <c r="O15" i="65" s="1"/>
  <c r="O16" i="65" s="1"/>
  <c r="P13" i="65"/>
  <c r="M14" i="64"/>
  <c r="M15" i="64" s="1"/>
  <c r="M16" i="64" s="1"/>
  <c r="N13" i="64"/>
  <c r="O13" i="63"/>
  <c r="N14" i="63"/>
  <c r="N15" i="63" s="1"/>
  <c r="N16" i="63" s="1"/>
  <c r="K14" i="62"/>
  <c r="K15" i="62" s="1"/>
  <c r="K16" i="62" s="1"/>
  <c r="L13" i="62"/>
  <c r="J14" i="61"/>
  <c r="J15" i="61" s="1"/>
  <c r="J16" i="61" s="1"/>
  <c r="K13" i="61"/>
  <c r="J14" i="60"/>
  <c r="J15" i="60" s="1"/>
  <c r="J16" i="60" s="1"/>
  <c r="K13" i="60"/>
  <c r="G14" i="59"/>
  <c r="G15" i="59" s="1"/>
  <c r="G16" i="59" s="1"/>
  <c r="H13" i="59"/>
  <c r="G14" i="58"/>
  <c r="G15" i="58" s="1"/>
  <c r="G16" i="58" s="1"/>
  <c r="H13" i="58"/>
  <c r="I15" i="58"/>
  <c r="I16" i="58" s="1"/>
  <c r="E15" i="57"/>
  <c r="Q14" i="57"/>
  <c r="I14" i="57"/>
  <c r="F14" i="57"/>
  <c r="F15" i="57" s="1"/>
  <c r="F16" i="57" s="1"/>
  <c r="AA13" i="57"/>
  <c r="F13" i="57"/>
  <c r="G13" i="57" s="1"/>
  <c r="E13" i="57"/>
  <c r="Z13" i="107" l="1"/>
  <c r="Y14" i="107"/>
  <c r="Y15" i="107" s="1"/>
  <c r="Y16" i="107" s="1"/>
  <c r="AA14" i="106"/>
  <c r="AA15" i="106" s="1"/>
  <c r="AA16" i="106" s="1"/>
  <c r="Z14" i="106"/>
  <c r="Z15" i="106" s="1"/>
  <c r="Z16" i="106" s="1"/>
  <c r="E17" i="106" s="1"/>
  <c r="AA14" i="105"/>
  <c r="AA15" i="105" s="1"/>
  <c r="AA16" i="105" s="1"/>
  <c r="Z14" i="105"/>
  <c r="Z15" i="105" s="1"/>
  <c r="Z16" i="105" s="1"/>
  <c r="E17" i="105" s="1"/>
  <c r="Z13" i="103"/>
  <c r="Y14" i="103"/>
  <c r="Y15" i="103" s="1"/>
  <c r="Y16" i="103" s="1"/>
  <c r="Z13" i="102"/>
  <c r="Y14" i="102"/>
  <c r="Y15" i="102" s="1"/>
  <c r="Y16" i="102" s="1"/>
  <c r="X14" i="101"/>
  <c r="X15" i="101" s="1"/>
  <c r="X16" i="101" s="1"/>
  <c r="Y13" i="101"/>
  <c r="Z13" i="100"/>
  <c r="Y14" i="100"/>
  <c r="Y15" i="100" s="1"/>
  <c r="Y16" i="100" s="1"/>
  <c r="W14" i="99"/>
  <c r="W15" i="99" s="1"/>
  <c r="W16" i="99" s="1"/>
  <c r="X13" i="99"/>
  <c r="V14" i="98"/>
  <c r="V15" i="98" s="1"/>
  <c r="V16" i="98" s="1"/>
  <c r="W13" i="98"/>
  <c r="U14" i="97"/>
  <c r="U15" i="97" s="1"/>
  <c r="U16" i="97" s="1"/>
  <c r="V13" i="97"/>
  <c r="V14" i="96"/>
  <c r="V15" i="96" s="1"/>
  <c r="V16" i="96" s="1"/>
  <c r="W13" i="96"/>
  <c r="V14" i="95"/>
  <c r="V15" i="95" s="1"/>
  <c r="V16" i="95" s="1"/>
  <c r="W13" i="95"/>
  <c r="V13" i="94"/>
  <c r="U14" i="94"/>
  <c r="U15" i="94" s="1"/>
  <c r="U16" i="94" s="1"/>
  <c r="U13" i="93"/>
  <c r="T14" i="93"/>
  <c r="T15" i="93" s="1"/>
  <c r="T16" i="93" s="1"/>
  <c r="U13" i="92"/>
  <c r="T14" i="92"/>
  <c r="T15" i="92" s="1"/>
  <c r="T16" i="92" s="1"/>
  <c r="U13" i="91"/>
  <c r="T14" i="91"/>
  <c r="T15" i="91" s="1"/>
  <c r="T16" i="91" s="1"/>
  <c r="T14" i="90"/>
  <c r="T15" i="90" s="1"/>
  <c r="T16" i="90" s="1"/>
  <c r="U13" i="90"/>
  <c r="T14" i="89"/>
  <c r="T15" i="89" s="1"/>
  <c r="T16" i="89" s="1"/>
  <c r="U13" i="89"/>
  <c r="V13" i="88"/>
  <c r="U14" i="88"/>
  <c r="U15" i="88" s="1"/>
  <c r="U16" i="88" s="1"/>
  <c r="U13" i="87"/>
  <c r="T14" i="87"/>
  <c r="T15" i="87" s="1"/>
  <c r="T16" i="87" s="1"/>
  <c r="U13" i="86"/>
  <c r="T14" i="86"/>
  <c r="T15" i="86" s="1"/>
  <c r="T16" i="86" s="1"/>
  <c r="U13" i="85"/>
  <c r="T14" i="85"/>
  <c r="T15" i="85" s="1"/>
  <c r="T16" i="85" s="1"/>
  <c r="V13" i="84"/>
  <c r="U14" i="84"/>
  <c r="U15" i="84" s="1"/>
  <c r="U16" i="84" s="1"/>
  <c r="U13" i="83"/>
  <c r="T14" i="83"/>
  <c r="T15" i="83" s="1"/>
  <c r="T16" i="83" s="1"/>
  <c r="T13" i="82"/>
  <c r="S14" i="82"/>
  <c r="S15" i="82" s="1"/>
  <c r="S16" i="82" s="1"/>
  <c r="S14" i="81"/>
  <c r="S15" i="81" s="1"/>
  <c r="S16" i="81" s="1"/>
  <c r="T13" i="81"/>
  <c r="S14" i="80"/>
  <c r="S15" i="80" s="1"/>
  <c r="S16" i="80" s="1"/>
  <c r="T13" i="80"/>
  <c r="S13" i="79"/>
  <c r="R14" i="79"/>
  <c r="R15" i="79" s="1"/>
  <c r="R16" i="79" s="1"/>
  <c r="S14" i="78"/>
  <c r="S15" i="78" s="1"/>
  <c r="S16" i="78" s="1"/>
  <c r="T13" i="78"/>
  <c r="T13" i="77"/>
  <c r="S14" i="77"/>
  <c r="S15" i="77" s="1"/>
  <c r="S16" i="77" s="1"/>
  <c r="S14" i="76"/>
  <c r="S15" i="76" s="1"/>
  <c r="S16" i="76" s="1"/>
  <c r="T13" i="76"/>
  <c r="S14" i="75"/>
  <c r="S15" i="75" s="1"/>
  <c r="S16" i="75" s="1"/>
  <c r="T13" i="75"/>
  <c r="S13" i="74"/>
  <c r="R14" i="74"/>
  <c r="R15" i="74" s="1"/>
  <c r="R16" i="74" s="1"/>
  <c r="T13" i="73"/>
  <c r="S14" i="73"/>
  <c r="S15" i="73" s="1"/>
  <c r="S16" i="73" s="1"/>
  <c r="T13" i="72"/>
  <c r="S14" i="72"/>
  <c r="S15" i="72" s="1"/>
  <c r="S16" i="72" s="1"/>
  <c r="T13" i="71"/>
  <c r="S14" i="71"/>
  <c r="S15" i="71" s="1"/>
  <c r="S16" i="71" s="1"/>
  <c r="T13" i="70"/>
  <c r="S14" i="70"/>
  <c r="S15" i="70" s="1"/>
  <c r="S16" i="70" s="1"/>
  <c r="T13" i="69"/>
  <c r="S14" i="69"/>
  <c r="S15" i="69" s="1"/>
  <c r="S16" i="69" s="1"/>
  <c r="U13" i="68"/>
  <c r="T14" i="68"/>
  <c r="T15" i="68" s="1"/>
  <c r="T16" i="68" s="1"/>
  <c r="T13" i="67"/>
  <c r="S14" i="67"/>
  <c r="S15" i="67" s="1"/>
  <c r="S16" i="67" s="1"/>
  <c r="Q15" i="57"/>
  <c r="Q16" i="57" s="1"/>
  <c r="R14" i="66"/>
  <c r="R15" i="66" s="1"/>
  <c r="R16" i="66" s="1"/>
  <c r="S13" i="66"/>
  <c r="P14" i="65"/>
  <c r="P15" i="65" s="1"/>
  <c r="P16" i="65" s="1"/>
  <c r="Q13" i="65"/>
  <c r="R13" i="65" s="1"/>
  <c r="N14" i="64"/>
  <c r="N15" i="64" s="1"/>
  <c r="N16" i="64" s="1"/>
  <c r="O13" i="64"/>
  <c r="O14" i="63"/>
  <c r="O15" i="63" s="1"/>
  <c r="O16" i="63" s="1"/>
  <c r="P13" i="63"/>
  <c r="M13" i="62"/>
  <c r="L14" i="62"/>
  <c r="L15" i="62" s="1"/>
  <c r="L16" i="62" s="1"/>
  <c r="K14" i="61"/>
  <c r="K15" i="61" s="1"/>
  <c r="K16" i="61" s="1"/>
  <c r="L13" i="61"/>
  <c r="K14" i="60"/>
  <c r="K15" i="60" s="1"/>
  <c r="K16" i="60" s="1"/>
  <c r="L13" i="60"/>
  <c r="I13" i="59"/>
  <c r="J13" i="59" s="1"/>
  <c r="H14" i="59"/>
  <c r="H15" i="59" s="1"/>
  <c r="H16" i="59" s="1"/>
  <c r="H14" i="58"/>
  <c r="H15" i="58" s="1"/>
  <c r="H16" i="58" s="1"/>
  <c r="I13" i="58"/>
  <c r="J13" i="58" s="1"/>
  <c r="G14" i="57"/>
  <c r="G15" i="57" s="1"/>
  <c r="G16" i="57" s="1"/>
  <c r="H13" i="57"/>
  <c r="I15" i="57"/>
  <c r="I16" i="57" s="1"/>
  <c r="E15" i="56"/>
  <c r="Q14" i="56"/>
  <c r="I14" i="56"/>
  <c r="AA13" i="56"/>
  <c r="F13" i="56"/>
  <c r="G13" i="56" s="1"/>
  <c r="AA14" i="107" l="1"/>
  <c r="AA15" i="107" s="1"/>
  <c r="AA16" i="107" s="1"/>
  <c r="Z14" i="107"/>
  <c r="Z15" i="107" s="1"/>
  <c r="Z16" i="107" s="1"/>
  <c r="E17" i="107" s="1"/>
  <c r="Z14" i="103"/>
  <c r="Z15" i="103" s="1"/>
  <c r="Z16" i="103" s="1"/>
  <c r="E17" i="103" s="1"/>
  <c r="AA14" i="103"/>
  <c r="AA15" i="103" s="1"/>
  <c r="AA16" i="103" s="1"/>
  <c r="Z14" i="102"/>
  <c r="Z15" i="102" s="1"/>
  <c r="Z16" i="102" s="1"/>
  <c r="E17" i="102" s="1"/>
  <c r="AA14" i="102"/>
  <c r="AA15" i="102" s="1"/>
  <c r="AA16" i="102" s="1"/>
  <c r="Y14" i="101"/>
  <c r="Y15" i="101" s="1"/>
  <c r="Y16" i="101" s="1"/>
  <c r="Z13" i="101"/>
  <c r="AA14" i="100"/>
  <c r="AA15" i="100" s="1"/>
  <c r="AA16" i="100" s="1"/>
  <c r="Z14" i="100"/>
  <c r="Z15" i="100" s="1"/>
  <c r="Z16" i="100" s="1"/>
  <c r="E17" i="100" s="1"/>
  <c r="X14" i="99"/>
  <c r="X15" i="99" s="1"/>
  <c r="X16" i="99" s="1"/>
  <c r="Y13" i="99"/>
  <c r="W14" i="98"/>
  <c r="W15" i="98" s="1"/>
  <c r="W16" i="98" s="1"/>
  <c r="X13" i="98"/>
  <c r="V14" i="97"/>
  <c r="V15" i="97" s="1"/>
  <c r="V16" i="97" s="1"/>
  <c r="W13" i="97"/>
  <c r="W14" i="96"/>
  <c r="W15" i="96" s="1"/>
  <c r="W16" i="96" s="1"/>
  <c r="X13" i="96"/>
  <c r="X13" i="95"/>
  <c r="W14" i="95"/>
  <c r="W15" i="95" s="1"/>
  <c r="W16" i="95" s="1"/>
  <c r="W13" i="94"/>
  <c r="V14" i="94"/>
  <c r="V15" i="94" s="1"/>
  <c r="V16" i="94" s="1"/>
  <c r="V13" i="93"/>
  <c r="U14" i="93"/>
  <c r="U15" i="93" s="1"/>
  <c r="U16" i="93" s="1"/>
  <c r="V13" i="92"/>
  <c r="U14" i="92"/>
  <c r="U15" i="92" s="1"/>
  <c r="U16" i="92" s="1"/>
  <c r="V13" i="91"/>
  <c r="U14" i="91"/>
  <c r="U15" i="91" s="1"/>
  <c r="U16" i="91" s="1"/>
  <c r="V13" i="90"/>
  <c r="U14" i="90"/>
  <c r="U15" i="90" s="1"/>
  <c r="U16" i="90" s="1"/>
  <c r="V13" i="89"/>
  <c r="U14" i="89"/>
  <c r="U15" i="89" s="1"/>
  <c r="U16" i="89" s="1"/>
  <c r="W13" i="88"/>
  <c r="V14" i="88"/>
  <c r="V15" i="88" s="1"/>
  <c r="V16" i="88" s="1"/>
  <c r="V13" i="87"/>
  <c r="U14" i="87"/>
  <c r="U15" i="87" s="1"/>
  <c r="U16" i="87" s="1"/>
  <c r="V13" i="86"/>
  <c r="U14" i="86"/>
  <c r="U15" i="86" s="1"/>
  <c r="U16" i="86" s="1"/>
  <c r="V13" i="85"/>
  <c r="U14" i="85"/>
  <c r="U15" i="85" s="1"/>
  <c r="U16" i="85" s="1"/>
  <c r="V14" i="84"/>
  <c r="V15" i="84" s="1"/>
  <c r="V16" i="84" s="1"/>
  <c r="W13" i="84"/>
  <c r="V13" i="83"/>
  <c r="U14" i="83"/>
  <c r="U15" i="83" s="1"/>
  <c r="U16" i="83" s="1"/>
  <c r="U13" i="82"/>
  <c r="T14" i="82"/>
  <c r="T15" i="82" s="1"/>
  <c r="T16" i="82" s="1"/>
  <c r="U13" i="81"/>
  <c r="T14" i="81"/>
  <c r="T15" i="81" s="1"/>
  <c r="T16" i="81" s="1"/>
  <c r="U13" i="80"/>
  <c r="T14" i="80"/>
  <c r="T15" i="80" s="1"/>
  <c r="T16" i="80" s="1"/>
  <c r="T13" i="79"/>
  <c r="S14" i="79"/>
  <c r="S15" i="79" s="1"/>
  <c r="S16" i="79" s="1"/>
  <c r="U13" i="78"/>
  <c r="T14" i="78"/>
  <c r="T15" i="78" s="1"/>
  <c r="T16" i="78" s="1"/>
  <c r="U13" i="77"/>
  <c r="T14" i="77"/>
  <c r="T15" i="77" s="1"/>
  <c r="T16" i="77" s="1"/>
  <c r="U13" i="76"/>
  <c r="T14" i="76"/>
  <c r="T15" i="76" s="1"/>
  <c r="T16" i="76" s="1"/>
  <c r="U13" i="75"/>
  <c r="T14" i="75"/>
  <c r="T15" i="75" s="1"/>
  <c r="T16" i="75" s="1"/>
  <c r="T13" i="74"/>
  <c r="S14" i="74"/>
  <c r="S15" i="74" s="1"/>
  <c r="S16" i="74" s="1"/>
  <c r="U13" i="73"/>
  <c r="T14" i="73"/>
  <c r="T15" i="73" s="1"/>
  <c r="T16" i="73" s="1"/>
  <c r="U13" i="72"/>
  <c r="T14" i="72"/>
  <c r="T15" i="72" s="1"/>
  <c r="T16" i="72" s="1"/>
  <c r="U13" i="71"/>
  <c r="T14" i="71"/>
  <c r="T15" i="71" s="1"/>
  <c r="T16" i="71" s="1"/>
  <c r="U13" i="70"/>
  <c r="T14" i="70"/>
  <c r="T15" i="70" s="1"/>
  <c r="T16" i="70" s="1"/>
  <c r="U13" i="69"/>
  <c r="T14" i="69"/>
  <c r="T15" i="69" s="1"/>
  <c r="T16" i="69" s="1"/>
  <c r="V13" i="68"/>
  <c r="U14" i="68"/>
  <c r="U15" i="68" s="1"/>
  <c r="U16" i="68" s="1"/>
  <c r="U13" i="67"/>
  <c r="T14" i="67"/>
  <c r="T15" i="67" s="1"/>
  <c r="T16" i="67" s="1"/>
  <c r="Q15" i="56"/>
  <c r="Q16" i="56" s="1"/>
  <c r="S14" i="66"/>
  <c r="S15" i="66" s="1"/>
  <c r="S16" i="66" s="1"/>
  <c r="T13" i="66"/>
  <c r="S13" i="65"/>
  <c r="R14" i="65"/>
  <c r="R15" i="65" s="1"/>
  <c r="R16" i="65" s="1"/>
  <c r="O14" i="64"/>
  <c r="O15" i="64" s="1"/>
  <c r="O16" i="64" s="1"/>
  <c r="P13" i="64"/>
  <c r="P14" i="63"/>
  <c r="P15" i="63" s="1"/>
  <c r="P16" i="63" s="1"/>
  <c r="Q13" i="63"/>
  <c r="R13" i="63" s="1"/>
  <c r="M14" i="62"/>
  <c r="M15" i="62" s="1"/>
  <c r="M16" i="62" s="1"/>
  <c r="N13" i="62"/>
  <c r="M13" i="61"/>
  <c r="L14" i="61"/>
  <c r="L15" i="61" s="1"/>
  <c r="L16" i="61" s="1"/>
  <c r="L14" i="60"/>
  <c r="L15" i="60" s="1"/>
  <c r="L16" i="60" s="1"/>
  <c r="M13" i="60"/>
  <c r="J14" i="59"/>
  <c r="J15" i="59" s="1"/>
  <c r="J16" i="59" s="1"/>
  <c r="K13" i="59"/>
  <c r="K13" i="58"/>
  <c r="J14" i="58"/>
  <c r="J15" i="58" s="1"/>
  <c r="J16" i="58" s="1"/>
  <c r="H14" i="57"/>
  <c r="H15" i="57" s="1"/>
  <c r="H16" i="57" s="1"/>
  <c r="I13" i="57"/>
  <c r="J13" i="57" s="1"/>
  <c r="G14" i="56"/>
  <c r="G15" i="56" s="1"/>
  <c r="G16" i="56" s="1"/>
  <c r="H13" i="56"/>
  <c r="F14" i="56"/>
  <c r="F15" i="56" s="1"/>
  <c r="F16" i="56" s="1"/>
  <c r="E13" i="56"/>
  <c r="I15" i="56"/>
  <c r="I16" i="56" s="1"/>
  <c r="Q14" i="55"/>
  <c r="I14" i="55"/>
  <c r="AA13" i="55"/>
  <c r="E15" i="55" s="1"/>
  <c r="F13" i="55"/>
  <c r="F14" i="55" s="1"/>
  <c r="AA14" i="101" l="1"/>
  <c r="AA15" i="101" s="1"/>
  <c r="AA16" i="101" s="1"/>
  <c r="Z14" i="101"/>
  <c r="Z15" i="101" s="1"/>
  <c r="Z16" i="101" s="1"/>
  <c r="E17" i="101" s="1"/>
  <c r="Y14" i="99"/>
  <c r="Y15" i="99" s="1"/>
  <c r="Y16" i="99" s="1"/>
  <c r="Z13" i="99"/>
  <c r="Y13" i="98"/>
  <c r="X14" i="98"/>
  <c r="X15" i="98" s="1"/>
  <c r="X16" i="98" s="1"/>
  <c r="W14" i="97"/>
  <c r="W15" i="97" s="1"/>
  <c r="W16" i="97" s="1"/>
  <c r="X13" i="97"/>
  <c r="X14" i="96"/>
  <c r="X15" i="96" s="1"/>
  <c r="X16" i="96" s="1"/>
  <c r="Y13" i="96"/>
  <c r="X14" i="95"/>
  <c r="X15" i="95" s="1"/>
  <c r="X16" i="95" s="1"/>
  <c r="Y13" i="95"/>
  <c r="W14" i="94"/>
  <c r="W15" i="94" s="1"/>
  <c r="W16" i="94" s="1"/>
  <c r="X13" i="94"/>
  <c r="V14" i="93"/>
  <c r="V15" i="93" s="1"/>
  <c r="V16" i="93" s="1"/>
  <c r="W13" i="93"/>
  <c r="V14" i="92"/>
  <c r="V15" i="92" s="1"/>
  <c r="V16" i="92" s="1"/>
  <c r="W13" i="92"/>
  <c r="V14" i="91"/>
  <c r="V15" i="91" s="1"/>
  <c r="V16" i="91" s="1"/>
  <c r="W13" i="91"/>
  <c r="V14" i="90"/>
  <c r="V15" i="90" s="1"/>
  <c r="V16" i="90" s="1"/>
  <c r="W13" i="90"/>
  <c r="W13" i="89"/>
  <c r="V14" i="89"/>
  <c r="V15" i="89" s="1"/>
  <c r="V16" i="89" s="1"/>
  <c r="W14" i="88"/>
  <c r="W15" i="88" s="1"/>
  <c r="W16" i="88" s="1"/>
  <c r="X13" i="88"/>
  <c r="V14" i="87"/>
  <c r="V15" i="87" s="1"/>
  <c r="V16" i="87" s="1"/>
  <c r="W13" i="87"/>
  <c r="V14" i="86"/>
  <c r="V15" i="86" s="1"/>
  <c r="V16" i="86" s="1"/>
  <c r="W13" i="86"/>
  <c r="W13" i="85"/>
  <c r="V14" i="85"/>
  <c r="V15" i="85" s="1"/>
  <c r="V16" i="85" s="1"/>
  <c r="W14" i="84"/>
  <c r="W15" i="84" s="1"/>
  <c r="W16" i="84" s="1"/>
  <c r="X13" i="84"/>
  <c r="V14" i="83"/>
  <c r="V15" i="83" s="1"/>
  <c r="V16" i="83" s="1"/>
  <c r="W13" i="83"/>
  <c r="V13" i="82"/>
  <c r="U14" i="82"/>
  <c r="U15" i="82" s="1"/>
  <c r="U16" i="82" s="1"/>
  <c r="V13" i="81"/>
  <c r="U14" i="81"/>
  <c r="U15" i="81" s="1"/>
  <c r="U16" i="81" s="1"/>
  <c r="V13" i="80"/>
  <c r="U14" i="80"/>
  <c r="U15" i="80" s="1"/>
  <c r="U16" i="80" s="1"/>
  <c r="U13" i="79"/>
  <c r="T14" i="79"/>
  <c r="T15" i="79" s="1"/>
  <c r="T16" i="79" s="1"/>
  <c r="V13" i="78"/>
  <c r="U14" i="78"/>
  <c r="U15" i="78" s="1"/>
  <c r="U16" i="78" s="1"/>
  <c r="V13" i="77"/>
  <c r="U14" i="77"/>
  <c r="U15" i="77" s="1"/>
  <c r="U16" i="77" s="1"/>
  <c r="V13" i="76"/>
  <c r="U14" i="76"/>
  <c r="U15" i="76" s="1"/>
  <c r="U16" i="76" s="1"/>
  <c r="V13" i="75"/>
  <c r="U14" i="75"/>
  <c r="U15" i="75" s="1"/>
  <c r="U16" i="75" s="1"/>
  <c r="U13" i="74"/>
  <c r="T14" i="74"/>
  <c r="T15" i="74" s="1"/>
  <c r="T16" i="74" s="1"/>
  <c r="V13" i="73"/>
  <c r="U14" i="73"/>
  <c r="U15" i="73" s="1"/>
  <c r="U16" i="73" s="1"/>
  <c r="V13" i="72"/>
  <c r="U14" i="72"/>
  <c r="U15" i="72" s="1"/>
  <c r="U16" i="72" s="1"/>
  <c r="V13" i="71"/>
  <c r="U14" i="71"/>
  <c r="U15" i="71" s="1"/>
  <c r="U16" i="71" s="1"/>
  <c r="V13" i="70"/>
  <c r="U14" i="70"/>
  <c r="U15" i="70" s="1"/>
  <c r="U16" i="70" s="1"/>
  <c r="V13" i="69"/>
  <c r="U14" i="69"/>
  <c r="U15" i="69" s="1"/>
  <c r="U16" i="69" s="1"/>
  <c r="V14" i="68"/>
  <c r="V15" i="68" s="1"/>
  <c r="V16" i="68" s="1"/>
  <c r="W13" i="68"/>
  <c r="V13" i="67"/>
  <c r="U14" i="67"/>
  <c r="U15" i="67" s="1"/>
  <c r="U16" i="67" s="1"/>
  <c r="G13" i="55"/>
  <c r="G14" i="55" s="1"/>
  <c r="F15" i="55"/>
  <c r="F16" i="55" s="1"/>
  <c r="T14" i="66"/>
  <c r="T15" i="66" s="1"/>
  <c r="T16" i="66" s="1"/>
  <c r="U13" i="66"/>
  <c r="S14" i="65"/>
  <c r="S15" i="65" s="1"/>
  <c r="S16" i="65" s="1"/>
  <c r="T13" i="65"/>
  <c r="Q13" i="64"/>
  <c r="R13" i="64" s="1"/>
  <c r="P14" i="64"/>
  <c r="P15" i="64" s="1"/>
  <c r="P16" i="64" s="1"/>
  <c r="S13" i="63"/>
  <c r="R14" i="63"/>
  <c r="R15" i="63" s="1"/>
  <c r="R16" i="63" s="1"/>
  <c r="N14" i="62"/>
  <c r="N15" i="62" s="1"/>
  <c r="N16" i="62" s="1"/>
  <c r="O13" i="62"/>
  <c r="M14" i="61"/>
  <c r="M15" i="61" s="1"/>
  <c r="M16" i="61" s="1"/>
  <c r="N13" i="61"/>
  <c r="M14" i="60"/>
  <c r="M15" i="60" s="1"/>
  <c r="M16" i="60" s="1"/>
  <c r="N13" i="60"/>
  <c r="K14" i="59"/>
  <c r="K15" i="59" s="1"/>
  <c r="K16" i="59" s="1"/>
  <c r="L13" i="59"/>
  <c r="K14" i="58"/>
  <c r="K15" i="58" s="1"/>
  <c r="K16" i="58" s="1"/>
  <c r="L13" i="58"/>
  <c r="K13" i="57"/>
  <c r="J14" i="57"/>
  <c r="J15" i="57" s="1"/>
  <c r="J16" i="57" s="1"/>
  <c r="I13" i="56"/>
  <c r="J13" i="56" s="1"/>
  <c r="H14" i="56"/>
  <c r="H15" i="56" s="1"/>
  <c r="H16" i="56" s="1"/>
  <c r="I15" i="55"/>
  <c r="I16" i="55" s="1"/>
  <c r="G15" i="55"/>
  <c r="G16" i="55" s="1"/>
  <c r="Q15" i="55"/>
  <c r="Q16" i="55" s="1"/>
  <c r="H13" i="55"/>
  <c r="E13" i="55"/>
  <c r="AA14" i="99" l="1"/>
  <c r="AA15" i="99" s="1"/>
  <c r="AA16" i="99" s="1"/>
  <c r="Z14" i="99"/>
  <c r="Z15" i="99" s="1"/>
  <c r="Z16" i="99" s="1"/>
  <c r="E17" i="99" s="1"/>
  <c r="Z13" i="98"/>
  <c r="Y14" i="98"/>
  <c r="Y15" i="98" s="1"/>
  <c r="Y16" i="98" s="1"/>
  <c r="X14" i="97"/>
  <c r="X15" i="97" s="1"/>
  <c r="X16" i="97" s="1"/>
  <c r="Y13" i="97"/>
  <c r="Z13" i="96"/>
  <c r="Y14" i="96"/>
  <c r="Y15" i="96" s="1"/>
  <c r="Y16" i="96" s="1"/>
  <c r="Y14" i="95"/>
  <c r="Y15" i="95" s="1"/>
  <c r="Y16" i="95" s="1"/>
  <c r="Z13" i="95"/>
  <c r="X14" i="94"/>
  <c r="X15" i="94" s="1"/>
  <c r="X16" i="94" s="1"/>
  <c r="Y13" i="94"/>
  <c r="W14" i="93"/>
  <c r="W15" i="93" s="1"/>
  <c r="W16" i="93" s="1"/>
  <c r="X13" i="93"/>
  <c r="W14" i="92"/>
  <c r="W15" i="92" s="1"/>
  <c r="W16" i="92" s="1"/>
  <c r="X13" i="92"/>
  <c r="W14" i="91"/>
  <c r="W15" i="91" s="1"/>
  <c r="W16" i="91" s="1"/>
  <c r="X13" i="91"/>
  <c r="W14" i="90"/>
  <c r="W15" i="90" s="1"/>
  <c r="W16" i="90" s="1"/>
  <c r="X13" i="90"/>
  <c r="W14" i="89"/>
  <c r="W15" i="89" s="1"/>
  <c r="W16" i="89" s="1"/>
  <c r="X13" i="89"/>
  <c r="X14" i="88"/>
  <c r="X15" i="88" s="1"/>
  <c r="X16" i="88" s="1"/>
  <c r="Y13" i="88"/>
  <c r="W14" i="87"/>
  <c r="W15" i="87" s="1"/>
  <c r="W16" i="87" s="1"/>
  <c r="X13" i="87"/>
  <c r="W14" i="86"/>
  <c r="W15" i="86" s="1"/>
  <c r="W16" i="86" s="1"/>
  <c r="X13" i="86"/>
  <c r="W14" i="85"/>
  <c r="W15" i="85" s="1"/>
  <c r="W16" i="85" s="1"/>
  <c r="X13" i="85"/>
  <c r="X14" i="84"/>
  <c r="X15" i="84" s="1"/>
  <c r="X16" i="84" s="1"/>
  <c r="Y13" i="84"/>
  <c r="W14" i="83"/>
  <c r="W15" i="83" s="1"/>
  <c r="W16" i="83" s="1"/>
  <c r="X13" i="83"/>
  <c r="W13" i="82"/>
  <c r="V14" i="82"/>
  <c r="V15" i="82" s="1"/>
  <c r="V16" i="82" s="1"/>
  <c r="V14" i="81"/>
  <c r="V15" i="81" s="1"/>
  <c r="V16" i="81" s="1"/>
  <c r="W13" i="81"/>
  <c r="V14" i="80"/>
  <c r="V15" i="80" s="1"/>
  <c r="V16" i="80" s="1"/>
  <c r="W13" i="80"/>
  <c r="V13" i="79"/>
  <c r="U14" i="79"/>
  <c r="U15" i="79" s="1"/>
  <c r="U16" i="79" s="1"/>
  <c r="V14" i="78"/>
  <c r="V15" i="78" s="1"/>
  <c r="V16" i="78" s="1"/>
  <c r="W13" i="78"/>
  <c r="W13" i="77"/>
  <c r="V14" i="77"/>
  <c r="V15" i="77" s="1"/>
  <c r="V16" i="77" s="1"/>
  <c r="V14" i="76"/>
  <c r="V15" i="76" s="1"/>
  <c r="V16" i="76" s="1"/>
  <c r="W13" i="76"/>
  <c r="V14" i="75"/>
  <c r="V15" i="75" s="1"/>
  <c r="V16" i="75" s="1"/>
  <c r="W13" i="75"/>
  <c r="V13" i="74"/>
  <c r="U14" i="74"/>
  <c r="U15" i="74" s="1"/>
  <c r="U16" i="74" s="1"/>
  <c r="W13" i="73"/>
  <c r="V14" i="73"/>
  <c r="V15" i="73" s="1"/>
  <c r="V16" i="73" s="1"/>
  <c r="W13" i="72"/>
  <c r="V14" i="72"/>
  <c r="V15" i="72" s="1"/>
  <c r="V16" i="72" s="1"/>
  <c r="V14" i="71"/>
  <c r="V15" i="71" s="1"/>
  <c r="V16" i="71" s="1"/>
  <c r="W13" i="71"/>
  <c r="V14" i="70"/>
  <c r="V15" i="70" s="1"/>
  <c r="V16" i="70" s="1"/>
  <c r="W13" i="70"/>
  <c r="V14" i="69"/>
  <c r="V15" i="69" s="1"/>
  <c r="V16" i="69" s="1"/>
  <c r="W13" i="69"/>
  <c r="X13" i="68"/>
  <c r="W14" i="68"/>
  <c r="W15" i="68" s="1"/>
  <c r="W16" i="68" s="1"/>
  <c r="W13" i="67"/>
  <c r="V14" i="67"/>
  <c r="V15" i="67" s="1"/>
  <c r="V16" i="67" s="1"/>
  <c r="V13" i="66"/>
  <c r="U14" i="66"/>
  <c r="U15" i="66" s="1"/>
  <c r="U16" i="66" s="1"/>
  <c r="T14" i="65"/>
  <c r="T15" i="65" s="1"/>
  <c r="T16" i="65" s="1"/>
  <c r="U13" i="65"/>
  <c r="R14" i="64"/>
  <c r="R15" i="64" s="1"/>
  <c r="R16" i="64" s="1"/>
  <c r="S13" i="64"/>
  <c r="T13" i="63"/>
  <c r="S14" i="63"/>
  <c r="S15" i="63" s="1"/>
  <c r="S16" i="63" s="1"/>
  <c r="O14" i="62"/>
  <c r="O15" i="62" s="1"/>
  <c r="O16" i="62" s="1"/>
  <c r="P13" i="62"/>
  <c r="N14" i="61"/>
  <c r="N15" i="61" s="1"/>
  <c r="N16" i="61" s="1"/>
  <c r="O13" i="61"/>
  <c r="O13" i="60"/>
  <c r="N14" i="60"/>
  <c r="N15" i="60" s="1"/>
  <c r="N16" i="60" s="1"/>
  <c r="M13" i="59"/>
  <c r="L14" i="59"/>
  <c r="L15" i="59" s="1"/>
  <c r="L16" i="59" s="1"/>
  <c r="L14" i="58"/>
  <c r="L15" i="58" s="1"/>
  <c r="L16" i="58" s="1"/>
  <c r="M13" i="58"/>
  <c r="K14" i="57"/>
  <c r="K15" i="57" s="1"/>
  <c r="K16" i="57" s="1"/>
  <c r="L13" i="57"/>
  <c r="K13" i="56"/>
  <c r="J14" i="56"/>
  <c r="J15" i="56" s="1"/>
  <c r="J16" i="56" s="1"/>
  <c r="H14" i="55"/>
  <c r="H15" i="55" s="1"/>
  <c r="H16" i="55" s="1"/>
  <c r="I13" i="55"/>
  <c r="J13" i="55" s="1"/>
  <c r="Z14" i="98" l="1"/>
  <c r="Z15" i="98" s="1"/>
  <c r="Z16" i="98" s="1"/>
  <c r="E17" i="98" s="1"/>
  <c r="AA14" i="98"/>
  <c r="AA15" i="98" s="1"/>
  <c r="AA16" i="98" s="1"/>
  <c r="Z13" i="97"/>
  <c r="Y14" i="97"/>
  <c r="Y15" i="97" s="1"/>
  <c r="Y16" i="97" s="1"/>
  <c r="AA14" i="96"/>
  <c r="AA15" i="96" s="1"/>
  <c r="AA16" i="96" s="1"/>
  <c r="Z14" i="96"/>
  <c r="Z15" i="96" s="1"/>
  <c r="Z16" i="96" s="1"/>
  <c r="E17" i="96" s="1"/>
  <c r="AA14" i="95"/>
  <c r="AA15" i="95" s="1"/>
  <c r="AA16" i="95" s="1"/>
  <c r="Z14" i="95"/>
  <c r="Z15" i="95" s="1"/>
  <c r="Z16" i="95" s="1"/>
  <c r="E17" i="95" s="1"/>
  <c r="Y14" i="94"/>
  <c r="Y15" i="94" s="1"/>
  <c r="Y16" i="94" s="1"/>
  <c r="Z13" i="94"/>
  <c r="X14" i="93"/>
  <c r="X15" i="93" s="1"/>
  <c r="X16" i="93" s="1"/>
  <c r="Y13" i="93"/>
  <c r="X14" i="92"/>
  <c r="X15" i="92" s="1"/>
  <c r="X16" i="92" s="1"/>
  <c r="Y13" i="92"/>
  <c r="X14" i="91"/>
  <c r="X15" i="91" s="1"/>
  <c r="X16" i="91" s="1"/>
  <c r="Y13" i="91"/>
  <c r="X14" i="90"/>
  <c r="X15" i="90" s="1"/>
  <c r="X16" i="90" s="1"/>
  <c r="Y13" i="90"/>
  <c r="X14" i="89"/>
  <c r="X15" i="89" s="1"/>
  <c r="X16" i="89" s="1"/>
  <c r="Y13" i="89"/>
  <c r="Y14" i="88"/>
  <c r="Y15" i="88" s="1"/>
  <c r="Y16" i="88" s="1"/>
  <c r="Z13" i="88"/>
  <c r="X14" i="87"/>
  <c r="X15" i="87" s="1"/>
  <c r="X16" i="87" s="1"/>
  <c r="Y13" i="87"/>
  <c r="X14" i="86"/>
  <c r="X15" i="86" s="1"/>
  <c r="X16" i="86" s="1"/>
  <c r="Y13" i="86"/>
  <c r="X14" i="85"/>
  <c r="X15" i="85" s="1"/>
  <c r="X16" i="85" s="1"/>
  <c r="Y13" i="85"/>
  <c r="Z13" i="84"/>
  <c r="Y14" i="84"/>
  <c r="Y15" i="84" s="1"/>
  <c r="Y16" i="84" s="1"/>
  <c r="X14" i="83"/>
  <c r="X15" i="83" s="1"/>
  <c r="X16" i="83" s="1"/>
  <c r="Y13" i="83"/>
  <c r="W14" i="82"/>
  <c r="W15" i="82" s="1"/>
  <c r="W16" i="82" s="1"/>
  <c r="X13" i="82"/>
  <c r="W14" i="81"/>
  <c r="W15" i="81" s="1"/>
  <c r="W16" i="81" s="1"/>
  <c r="X13" i="81"/>
  <c r="W14" i="80"/>
  <c r="W15" i="80" s="1"/>
  <c r="W16" i="80" s="1"/>
  <c r="X13" i="80"/>
  <c r="V14" i="79"/>
  <c r="V15" i="79" s="1"/>
  <c r="V16" i="79" s="1"/>
  <c r="W13" i="79"/>
  <c r="W14" i="78"/>
  <c r="W15" i="78" s="1"/>
  <c r="W16" i="78" s="1"/>
  <c r="X13" i="78"/>
  <c r="W14" i="77"/>
  <c r="W15" i="77" s="1"/>
  <c r="W16" i="77" s="1"/>
  <c r="X13" i="77"/>
  <c r="W14" i="76"/>
  <c r="W15" i="76" s="1"/>
  <c r="W16" i="76" s="1"/>
  <c r="X13" i="76"/>
  <c r="W14" i="75"/>
  <c r="W15" i="75" s="1"/>
  <c r="W16" i="75" s="1"/>
  <c r="X13" i="75"/>
  <c r="V14" i="74"/>
  <c r="V15" i="74" s="1"/>
  <c r="V16" i="74" s="1"/>
  <c r="W13" i="74"/>
  <c r="W14" i="73"/>
  <c r="W15" i="73" s="1"/>
  <c r="W16" i="73" s="1"/>
  <c r="X13" i="73"/>
  <c r="W14" i="72"/>
  <c r="W15" i="72" s="1"/>
  <c r="W16" i="72" s="1"/>
  <c r="X13" i="72"/>
  <c r="W14" i="71"/>
  <c r="W15" i="71" s="1"/>
  <c r="W16" i="71" s="1"/>
  <c r="X13" i="71"/>
  <c r="W14" i="70"/>
  <c r="W15" i="70" s="1"/>
  <c r="W16" i="70" s="1"/>
  <c r="X13" i="70"/>
  <c r="W14" i="69"/>
  <c r="W15" i="69" s="1"/>
  <c r="W16" i="69" s="1"/>
  <c r="X13" i="69"/>
  <c r="X14" i="68"/>
  <c r="X15" i="68" s="1"/>
  <c r="X16" i="68" s="1"/>
  <c r="Y13" i="68"/>
  <c r="W14" i="67"/>
  <c r="W15" i="67" s="1"/>
  <c r="W16" i="67" s="1"/>
  <c r="X13" i="67"/>
  <c r="V14" i="66"/>
  <c r="V15" i="66" s="1"/>
  <c r="V16" i="66" s="1"/>
  <c r="W13" i="66"/>
  <c r="U14" i="65"/>
  <c r="U15" i="65" s="1"/>
  <c r="U16" i="65" s="1"/>
  <c r="V13" i="65"/>
  <c r="S14" i="64"/>
  <c r="S15" i="64" s="1"/>
  <c r="S16" i="64" s="1"/>
  <c r="T13" i="64"/>
  <c r="T14" i="63"/>
  <c r="T15" i="63" s="1"/>
  <c r="T16" i="63" s="1"/>
  <c r="U13" i="63"/>
  <c r="Q13" i="62"/>
  <c r="R13" i="62" s="1"/>
  <c r="P14" i="62"/>
  <c r="P15" i="62" s="1"/>
  <c r="P16" i="62" s="1"/>
  <c r="O14" i="61"/>
  <c r="O15" i="61" s="1"/>
  <c r="O16" i="61" s="1"/>
  <c r="P13" i="61"/>
  <c r="O14" i="60"/>
  <c r="O15" i="60" s="1"/>
  <c r="O16" i="60" s="1"/>
  <c r="P13" i="60"/>
  <c r="M14" i="59"/>
  <c r="M15" i="59" s="1"/>
  <c r="M16" i="59" s="1"/>
  <c r="N13" i="59"/>
  <c r="M14" i="58"/>
  <c r="M15" i="58" s="1"/>
  <c r="M16" i="58" s="1"/>
  <c r="N13" i="58"/>
  <c r="L14" i="57"/>
  <c r="L15" i="57" s="1"/>
  <c r="L16" i="57" s="1"/>
  <c r="M13" i="57"/>
  <c r="K14" i="56"/>
  <c r="K15" i="56" s="1"/>
  <c r="K16" i="56" s="1"/>
  <c r="L13" i="56"/>
  <c r="J14" i="55"/>
  <c r="J15" i="55" s="1"/>
  <c r="J16" i="55" s="1"/>
  <c r="K13" i="55"/>
  <c r="AA14" i="97" l="1"/>
  <c r="AA15" i="97" s="1"/>
  <c r="AA16" i="97" s="1"/>
  <c r="Z14" i="97"/>
  <c r="Z15" i="97" s="1"/>
  <c r="Z16" i="97" s="1"/>
  <c r="E17" i="97" s="1"/>
  <c r="Z14" i="94"/>
  <c r="Z15" i="94" s="1"/>
  <c r="Z16" i="94" s="1"/>
  <c r="E17" i="94" s="1"/>
  <c r="AA14" i="94"/>
  <c r="AA15" i="94" s="1"/>
  <c r="AA16" i="94" s="1"/>
  <c r="Y14" i="93"/>
  <c r="Y15" i="93" s="1"/>
  <c r="Y16" i="93" s="1"/>
  <c r="Z13" i="93"/>
  <c r="Z13" i="92"/>
  <c r="Y14" i="92"/>
  <c r="Y15" i="92" s="1"/>
  <c r="Y16" i="92" s="1"/>
  <c r="Z13" i="91"/>
  <c r="Y14" i="91"/>
  <c r="Y15" i="91" s="1"/>
  <c r="Y16" i="91" s="1"/>
  <c r="Z13" i="90"/>
  <c r="Y14" i="90"/>
  <c r="Y15" i="90" s="1"/>
  <c r="Y16" i="90" s="1"/>
  <c r="Z13" i="89"/>
  <c r="Y14" i="89"/>
  <c r="Y15" i="89" s="1"/>
  <c r="Y16" i="89" s="1"/>
  <c r="AA14" i="88"/>
  <c r="AA15" i="88" s="1"/>
  <c r="AA16" i="88" s="1"/>
  <c r="Z14" i="88"/>
  <c r="Z15" i="88" s="1"/>
  <c r="Z16" i="88" s="1"/>
  <c r="E17" i="88" s="1"/>
  <c r="Z13" i="87"/>
  <c r="Y14" i="87"/>
  <c r="Y15" i="87" s="1"/>
  <c r="Y16" i="87" s="1"/>
  <c r="Z13" i="86"/>
  <c r="Y14" i="86"/>
  <c r="Y15" i="86" s="1"/>
  <c r="Y16" i="86" s="1"/>
  <c r="Y14" i="85"/>
  <c r="Y15" i="85" s="1"/>
  <c r="Y16" i="85" s="1"/>
  <c r="Z13" i="85"/>
  <c r="Z14" i="84"/>
  <c r="Z15" i="84" s="1"/>
  <c r="Z16" i="84" s="1"/>
  <c r="E17" i="84" s="1"/>
  <c r="AA14" i="84"/>
  <c r="AA15" i="84" s="1"/>
  <c r="AA16" i="84" s="1"/>
  <c r="Y14" i="83"/>
  <c r="Y15" i="83" s="1"/>
  <c r="Y16" i="83" s="1"/>
  <c r="Z13" i="83"/>
  <c r="X14" i="82"/>
  <c r="X15" i="82" s="1"/>
  <c r="X16" i="82" s="1"/>
  <c r="Y13" i="82"/>
  <c r="X14" i="81"/>
  <c r="X15" i="81" s="1"/>
  <c r="X16" i="81" s="1"/>
  <c r="Y13" i="81"/>
  <c r="X14" i="80"/>
  <c r="X15" i="80" s="1"/>
  <c r="X16" i="80" s="1"/>
  <c r="Y13" i="80"/>
  <c r="W14" i="79"/>
  <c r="W15" i="79" s="1"/>
  <c r="W16" i="79" s="1"/>
  <c r="X13" i="79"/>
  <c r="X14" i="78"/>
  <c r="X15" i="78" s="1"/>
  <c r="X16" i="78" s="1"/>
  <c r="Y13" i="78"/>
  <c r="X14" i="77"/>
  <c r="X15" i="77" s="1"/>
  <c r="X16" i="77" s="1"/>
  <c r="Y13" i="77"/>
  <c r="X14" i="76"/>
  <c r="X15" i="76" s="1"/>
  <c r="X16" i="76" s="1"/>
  <c r="Y13" i="76"/>
  <c r="X14" i="75"/>
  <c r="X15" i="75" s="1"/>
  <c r="X16" i="75" s="1"/>
  <c r="Y13" i="75"/>
  <c r="W14" i="74"/>
  <c r="W15" i="74" s="1"/>
  <c r="W16" i="74" s="1"/>
  <c r="X13" i="74"/>
  <c r="X14" i="73"/>
  <c r="X15" i="73" s="1"/>
  <c r="X16" i="73" s="1"/>
  <c r="Y13" i="73"/>
  <c r="X14" i="72"/>
  <c r="X15" i="72" s="1"/>
  <c r="X16" i="72" s="1"/>
  <c r="Y13" i="72"/>
  <c r="X14" i="71"/>
  <c r="X15" i="71" s="1"/>
  <c r="X16" i="71" s="1"/>
  <c r="Y13" i="71"/>
  <c r="X14" i="70"/>
  <c r="X15" i="70" s="1"/>
  <c r="X16" i="70" s="1"/>
  <c r="Y13" i="70"/>
  <c r="X14" i="69"/>
  <c r="X15" i="69" s="1"/>
  <c r="X16" i="69" s="1"/>
  <c r="Y13" i="69"/>
  <c r="Y14" i="68"/>
  <c r="Y15" i="68" s="1"/>
  <c r="Y16" i="68" s="1"/>
  <c r="Z13" i="68"/>
  <c r="X14" i="67"/>
  <c r="X15" i="67" s="1"/>
  <c r="X16" i="67" s="1"/>
  <c r="Y13" i="67"/>
  <c r="W14" i="66"/>
  <c r="W15" i="66" s="1"/>
  <c r="W16" i="66" s="1"/>
  <c r="X13" i="66"/>
  <c r="W13" i="65"/>
  <c r="V14" i="65"/>
  <c r="V15" i="65" s="1"/>
  <c r="V16" i="65" s="1"/>
  <c r="U13" i="64"/>
  <c r="T14" i="64"/>
  <c r="T15" i="64" s="1"/>
  <c r="T16" i="64" s="1"/>
  <c r="U14" i="63"/>
  <c r="U15" i="63" s="1"/>
  <c r="U16" i="63" s="1"/>
  <c r="V13" i="63"/>
  <c r="R14" i="62"/>
  <c r="R15" i="62" s="1"/>
  <c r="R16" i="62" s="1"/>
  <c r="S13" i="62"/>
  <c r="Q13" i="61"/>
  <c r="R13" i="61" s="1"/>
  <c r="P14" i="61"/>
  <c r="P15" i="61" s="1"/>
  <c r="P16" i="61" s="1"/>
  <c r="P14" i="60"/>
  <c r="P15" i="60" s="1"/>
  <c r="P16" i="60" s="1"/>
  <c r="Q13" i="60"/>
  <c r="R13" i="60" s="1"/>
  <c r="N14" i="59"/>
  <c r="N15" i="59" s="1"/>
  <c r="N16" i="59" s="1"/>
  <c r="O13" i="59"/>
  <c r="O13" i="58"/>
  <c r="N14" i="58"/>
  <c r="N15" i="58" s="1"/>
  <c r="N16" i="58" s="1"/>
  <c r="M14" i="57"/>
  <c r="M15" i="57" s="1"/>
  <c r="M16" i="57" s="1"/>
  <c r="N13" i="57"/>
  <c r="L14" i="56"/>
  <c r="L15" i="56" s="1"/>
  <c r="L16" i="56" s="1"/>
  <c r="M13" i="56"/>
  <c r="K14" i="55"/>
  <c r="K15" i="55" s="1"/>
  <c r="K16" i="55" s="1"/>
  <c r="L13" i="55"/>
  <c r="Z14" i="93" l="1"/>
  <c r="Z15" i="93" s="1"/>
  <c r="Z16" i="93" s="1"/>
  <c r="AA14" i="93"/>
  <c r="AA15" i="93" s="1"/>
  <c r="AA16" i="93" s="1"/>
  <c r="AA14" i="92"/>
  <c r="AA15" i="92" s="1"/>
  <c r="AA16" i="92" s="1"/>
  <c r="Z14" i="92"/>
  <c r="Z15" i="92" s="1"/>
  <c r="Z16" i="92" s="1"/>
  <c r="AA14" i="91"/>
  <c r="AA15" i="91" s="1"/>
  <c r="AA16" i="91" s="1"/>
  <c r="Z14" i="91"/>
  <c r="Z15" i="91" s="1"/>
  <c r="Z16" i="91" s="1"/>
  <c r="AA14" i="90"/>
  <c r="AA15" i="90" s="1"/>
  <c r="AA16" i="90" s="1"/>
  <c r="Z14" i="90"/>
  <c r="Z15" i="90" s="1"/>
  <c r="Z16" i="90" s="1"/>
  <c r="E17" i="90" s="1"/>
  <c r="AA14" i="89"/>
  <c r="AA15" i="89" s="1"/>
  <c r="AA16" i="89" s="1"/>
  <c r="Z14" i="89"/>
  <c r="Z15" i="89" s="1"/>
  <c r="Z16" i="89" s="1"/>
  <c r="E17" i="89" s="1"/>
  <c r="AA14" i="87"/>
  <c r="AA15" i="87" s="1"/>
  <c r="AA16" i="87" s="1"/>
  <c r="Z14" i="87"/>
  <c r="Z15" i="87" s="1"/>
  <c r="Z16" i="87" s="1"/>
  <c r="E17" i="87" s="1"/>
  <c r="AA14" i="86"/>
  <c r="AA15" i="86" s="1"/>
  <c r="AA16" i="86" s="1"/>
  <c r="Z14" i="86"/>
  <c r="Z15" i="86" s="1"/>
  <c r="Z16" i="86" s="1"/>
  <c r="E17" i="86" s="1"/>
  <c r="AA14" i="85"/>
  <c r="AA15" i="85" s="1"/>
  <c r="AA16" i="85" s="1"/>
  <c r="Z14" i="85"/>
  <c r="Z15" i="85" s="1"/>
  <c r="Z16" i="85" s="1"/>
  <c r="E17" i="85" s="1"/>
  <c r="AA14" i="83"/>
  <c r="AA15" i="83" s="1"/>
  <c r="AA16" i="83" s="1"/>
  <c r="Z14" i="83"/>
  <c r="Z15" i="83" s="1"/>
  <c r="Z16" i="83" s="1"/>
  <c r="E17" i="83" s="1"/>
  <c r="Y14" i="82"/>
  <c r="Y15" i="82" s="1"/>
  <c r="Y16" i="82" s="1"/>
  <c r="Z13" i="82"/>
  <c r="Z13" i="81"/>
  <c r="Y14" i="81"/>
  <c r="Y15" i="81" s="1"/>
  <c r="Y16" i="81" s="1"/>
  <c r="Y14" i="80"/>
  <c r="Y15" i="80" s="1"/>
  <c r="Y16" i="80" s="1"/>
  <c r="Z13" i="80"/>
  <c r="Y13" i="79"/>
  <c r="X14" i="79"/>
  <c r="X15" i="79" s="1"/>
  <c r="X16" i="79" s="1"/>
  <c r="Y14" i="78"/>
  <c r="Y15" i="78" s="1"/>
  <c r="Y16" i="78" s="1"/>
  <c r="Z13" i="78"/>
  <c r="Z13" i="77"/>
  <c r="Y14" i="77"/>
  <c r="Y15" i="77" s="1"/>
  <c r="Y16" i="77" s="1"/>
  <c r="Z13" i="76"/>
  <c r="Y14" i="76"/>
  <c r="Y15" i="76" s="1"/>
  <c r="Y16" i="76" s="1"/>
  <c r="Y14" i="75"/>
  <c r="Y15" i="75" s="1"/>
  <c r="Y16" i="75" s="1"/>
  <c r="Z13" i="75"/>
  <c r="Y13" i="74"/>
  <c r="X14" i="74"/>
  <c r="X15" i="74" s="1"/>
  <c r="X16" i="74" s="1"/>
  <c r="Z13" i="73"/>
  <c r="Y14" i="73"/>
  <c r="Y15" i="73" s="1"/>
  <c r="Y16" i="73" s="1"/>
  <c r="Y14" i="72"/>
  <c r="Y15" i="72" s="1"/>
  <c r="Y16" i="72" s="1"/>
  <c r="Z13" i="72"/>
  <c r="Z13" i="71"/>
  <c r="Y14" i="71"/>
  <c r="Y15" i="71" s="1"/>
  <c r="Y16" i="71" s="1"/>
  <c r="Z13" i="70"/>
  <c r="Y14" i="70"/>
  <c r="Y15" i="70" s="1"/>
  <c r="Y16" i="70" s="1"/>
  <c r="Z13" i="69"/>
  <c r="Y14" i="69"/>
  <c r="Y15" i="69" s="1"/>
  <c r="Y16" i="69" s="1"/>
  <c r="Z14" i="68"/>
  <c r="Z15" i="68" s="1"/>
  <c r="Z16" i="68" s="1"/>
  <c r="E17" i="68" s="1"/>
  <c r="AA14" i="68"/>
  <c r="AA15" i="68" s="1"/>
  <c r="AA16" i="68" s="1"/>
  <c r="Z13" i="67"/>
  <c r="Y14" i="67"/>
  <c r="Y15" i="67" s="1"/>
  <c r="Y16" i="67" s="1"/>
  <c r="X14" i="66"/>
  <c r="X15" i="66" s="1"/>
  <c r="X16" i="66" s="1"/>
  <c r="Y13" i="66"/>
  <c r="W14" i="65"/>
  <c r="W15" i="65" s="1"/>
  <c r="W16" i="65" s="1"/>
  <c r="X13" i="65"/>
  <c r="U14" i="64"/>
  <c r="U15" i="64" s="1"/>
  <c r="U16" i="64" s="1"/>
  <c r="V13" i="64"/>
  <c r="W13" i="63"/>
  <c r="V14" i="63"/>
  <c r="V15" i="63" s="1"/>
  <c r="V16" i="63" s="1"/>
  <c r="S14" i="62"/>
  <c r="S15" i="62" s="1"/>
  <c r="S16" i="62" s="1"/>
  <c r="T13" i="62"/>
  <c r="R14" i="61"/>
  <c r="R15" i="61" s="1"/>
  <c r="R16" i="61" s="1"/>
  <c r="S13" i="61"/>
  <c r="R14" i="60"/>
  <c r="R15" i="60" s="1"/>
  <c r="R16" i="60" s="1"/>
  <c r="S13" i="60"/>
  <c r="O14" i="59"/>
  <c r="O15" i="59" s="1"/>
  <c r="O16" i="59" s="1"/>
  <c r="P13" i="59"/>
  <c r="O14" i="58"/>
  <c r="O15" i="58" s="1"/>
  <c r="O16" i="58" s="1"/>
  <c r="P13" i="58"/>
  <c r="O13" i="57"/>
  <c r="N14" i="57"/>
  <c r="N15" i="57" s="1"/>
  <c r="N16" i="57" s="1"/>
  <c r="N13" i="56"/>
  <c r="M14" i="56"/>
  <c r="M15" i="56" s="1"/>
  <c r="M16" i="56" s="1"/>
  <c r="L14" i="55"/>
  <c r="L15" i="55" s="1"/>
  <c r="L16" i="55" s="1"/>
  <c r="M13" i="55"/>
  <c r="E17" i="93" l="1"/>
  <c r="E17" i="92"/>
  <c r="E17" i="91"/>
  <c r="AA14" i="82"/>
  <c r="AA15" i="82" s="1"/>
  <c r="AA16" i="82" s="1"/>
  <c r="Z14" i="82"/>
  <c r="Z15" i="82" s="1"/>
  <c r="Z16" i="82" s="1"/>
  <c r="E17" i="82" s="1"/>
  <c r="AA14" i="81"/>
  <c r="AA15" i="81" s="1"/>
  <c r="AA16" i="81" s="1"/>
  <c r="Z14" i="81"/>
  <c r="Z15" i="81" s="1"/>
  <c r="Z16" i="81" s="1"/>
  <c r="E17" i="81" s="1"/>
  <c r="Z14" i="80"/>
  <c r="Z15" i="80" s="1"/>
  <c r="Z16" i="80" s="1"/>
  <c r="E17" i="80" s="1"/>
  <c r="AA14" i="80"/>
  <c r="AA15" i="80" s="1"/>
  <c r="AA16" i="80" s="1"/>
  <c r="Z13" i="79"/>
  <c r="Y14" i="79"/>
  <c r="Y15" i="79" s="1"/>
  <c r="Y16" i="79" s="1"/>
  <c r="AA14" i="78"/>
  <c r="AA15" i="78" s="1"/>
  <c r="AA16" i="78" s="1"/>
  <c r="Z14" i="78"/>
  <c r="Z15" i="78" s="1"/>
  <c r="Z16" i="78" s="1"/>
  <c r="AA14" i="77"/>
  <c r="AA15" i="77" s="1"/>
  <c r="AA16" i="77" s="1"/>
  <c r="Z14" i="77"/>
  <c r="Z15" i="77" s="1"/>
  <c r="Z16" i="77" s="1"/>
  <c r="E17" i="77" s="1"/>
  <c r="AA14" i="76"/>
  <c r="AA15" i="76" s="1"/>
  <c r="AA16" i="76" s="1"/>
  <c r="Z14" i="76"/>
  <c r="Z15" i="76" s="1"/>
  <c r="Z16" i="76" s="1"/>
  <c r="E17" i="76" s="1"/>
  <c r="Z14" i="75"/>
  <c r="Z15" i="75" s="1"/>
  <c r="Z16" i="75" s="1"/>
  <c r="E17" i="75" s="1"/>
  <c r="AA14" i="75"/>
  <c r="AA15" i="75" s="1"/>
  <c r="AA16" i="75" s="1"/>
  <c r="Z13" i="74"/>
  <c r="Y14" i="74"/>
  <c r="Y15" i="74" s="1"/>
  <c r="Y16" i="74" s="1"/>
  <c r="AA14" i="73"/>
  <c r="AA15" i="73" s="1"/>
  <c r="AA16" i="73" s="1"/>
  <c r="Z14" i="73"/>
  <c r="Z15" i="73" s="1"/>
  <c r="Z16" i="73" s="1"/>
  <c r="E17" i="73" s="1"/>
  <c r="Z14" i="72"/>
  <c r="Z15" i="72" s="1"/>
  <c r="Z16" i="72" s="1"/>
  <c r="E17" i="72" s="1"/>
  <c r="AA14" i="72"/>
  <c r="AA15" i="72" s="1"/>
  <c r="AA16" i="72" s="1"/>
  <c r="AA14" i="71"/>
  <c r="AA15" i="71" s="1"/>
  <c r="AA16" i="71" s="1"/>
  <c r="Z14" i="71"/>
  <c r="Z15" i="71" s="1"/>
  <c r="Z16" i="71" s="1"/>
  <c r="E17" i="71" s="1"/>
  <c r="AA14" i="70"/>
  <c r="AA15" i="70" s="1"/>
  <c r="AA16" i="70" s="1"/>
  <c r="Z14" i="70"/>
  <c r="Z15" i="70" s="1"/>
  <c r="Z16" i="70" s="1"/>
  <c r="E17" i="70" s="1"/>
  <c r="AA14" i="69"/>
  <c r="AA15" i="69" s="1"/>
  <c r="AA16" i="69" s="1"/>
  <c r="Z14" i="69"/>
  <c r="Z15" i="69" s="1"/>
  <c r="Z16" i="69" s="1"/>
  <c r="E17" i="69" s="1"/>
  <c r="AA14" i="67"/>
  <c r="AA15" i="67" s="1"/>
  <c r="AA16" i="67" s="1"/>
  <c r="Z14" i="67"/>
  <c r="Z15" i="67" s="1"/>
  <c r="Z16" i="67" s="1"/>
  <c r="E17" i="67" s="1"/>
  <c r="Z13" i="66"/>
  <c r="Y14" i="66"/>
  <c r="Y15" i="66" s="1"/>
  <c r="Y16" i="66" s="1"/>
  <c r="X14" i="65"/>
  <c r="X15" i="65" s="1"/>
  <c r="X16" i="65" s="1"/>
  <c r="Y13" i="65"/>
  <c r="V14" i="64"/>
  <c r="V15" i="64" s="1"/>
  <c r="V16" i="64" s="1"/>
  <c r="W13" i="64"/>
  <c r="W14" i="63"/>
  <c r="W15" i="63" s="1"/>
  <c r="W16" i="63" s="1"/>
  <c r="X13" i="63"/>
  <c r="U13" i="62"/>
  <c r="T14" i="62"/>
  <c r="T15" i="62" s="1"/>
  <c r="T16" i="62" s="1"/>
  <c r="S14" i="61"/>
  <c r="S15" i="61" s="1"/>
  <c r="S16" i="61" s="1"/>
  <c r="T13" i="61"/>
  <c r="S14" i="60"/>
  <c r="S15" i="60" s="1"/>
  <c r="S16" i="60" s="1"/>
  <c r="T13" i="60"/>
  <c r="Q13" i="59"/>
  <c r="R13" i="59" s="1"/>
  <c r="P14" i="59"/>
  <c r="P15" i="59" s="1"/>
  <c r="P16" i="59" s="1"/>
  <c r="P14" i="58"/>
  <c r="P15" i="58" s="1"/>
  <c r="P16" i="58" s="1"/>
  <c r="Q13" i="58"/>
  <c r="R13" i="58" s="1"/>
  <c r="O14" i="57"/>
  <c r="O15" i="57" s="1"/>
  <c r="O16" i="57" s="1"/>
  <c r="P13" i="57"/>
  <c r="N14" i="56"/>
  <c r="N15" i="56" s="1"/>
  <c r="N16" i="56" s="1"/>
  <c r="O13" i="56"/>
  <c r="N13" i="55"/>
  <c r="M14" i="55"/>
  <c r="M15" i="55" s="1"/>
  <c r="M16" i="55" s="1"/>
  <c r="AA14" i="79" l="1"/>
  <c r="AA15" i="79" s="1"/>
  <c r="AA16" i="79" s="1"/>
  <c r="Z14" i="79"/>
  <c r="Z15" i="79" s="1"/>
  <c r="Z16" i="79" s="1"/>
  <c r="E17" i="79" s="1"/>
  <c r="E17" i="78"/>
  <c r="AA14" i="74"/>
  <c r="AA15" i="74" s="1"/>
  <c r="AA16" i="74" s="1"/>
  <c r="Z14" i="74"/>
  <c r="Z15" i="74" s="1"/>
  <c r="Z16" i="74" s="1"/>
  <c r="E17" i="74" s="1"/>
  <c r="Z14" i="66"/>
  <c r="Z15" i="66" s="1"/>
  <c r="Z16" i="66" s="1"/>
  <c r="E17" i="66" s="1"/>
  <c r="AA14" i="66"/>
  <c r="AA15" i="66" s="1"/>
  <c r="AA16" i="66" s="1"/>
  <c r="Y14" i="65"/>
  <c r="Y15" i="65" s="1"/>
  <c r="Y16" i="65" s="1"/>
  <c r="Z13" i="65"/>
  <c r="W14" i="64"/>
  <c r="W15" i="64" s="1"/>
  <c r="W16" i="64" s="1"/>
  <c r="X13" i="64"/>
  <c r="X14" i="63"/>
  <c r="X15" i="63" s="1"/>
  <c r="X16" i="63" s="1"/>
  <c r="Y13" i="63"/>
  <c r="U14" i="62"/>
  <c r="U15" i="62" s="1"/>
  <c r="U16" i="62" s="1"/>
  <c r="V13" i="62"/>
  <c r="U13" i="61"/>
  <c r="T14" i="61"/>
  <c r="T15" i="61" s="1"/>
  <c r="T16" i="61" s="1"/>
  <c r="T14" i="60"/>
  <c r="T15" i="60" s="1"/>
  <c r="T16" i="60" s="1"/>
  <c r="U13" i="60"/>
  <c r="R14" i="59"/>
  <c r="R15" i="59" s="1"/>
  <c r="R16" i="59" s="1"/>
  <c r="S13" i="59"/>
  <c r="S13" i="58"/>
  <c r="R14" i="58"/>
  <c r="R15" i="58" s="1"/>
  <c r="R16" i="58" s="1"/>
  <c r="P14" i="57"/>
  <c r="P15" i="57" s="1"/>
  <c r="P16" i="57" s="1"/>
  <c r="Q13" i="57"/>
  <c r="R13" i="57" s="1"/>
  <c r="O14" i="56"/>
  <c r="O15" i="56" s="1"/>
  <c r="O16" i="56" s="1"/>
  <c r="P13" i="56"/>
  <c r="N14" i="55"/>
  <c r="N15" i="55" s="1"/>
  <c r="N16" i="55" s="1"/>
  <c r="O13" i="55"/>
  <c r="E15" i="54"/>
  <c r="Q15" i="54" s="1"/>
  <c r="Q16" i="54" s="1"/>
  <c r="Q14" i="54"/>
  <c r="I14" i="54"/>
  <c r="AA13" i="54"/>
  <c r="F13" i="54"/>
  <c r="G13" i="54" s="1"/>
  <c r="AA14" i="65" l="1"/>
  <c r="AA15" i="65" s="1"/>
  <c r="AA16" i="65" s="1"/>
  <c r="Z14" i="65"/>
  <c r="Z15" i="65" s="1"/>
  <c r="Z16" i="65" s="1"/>
  <c r="E17" i="65" s="1"/>
  <c r="Y13" i="64"/>
  <c r="X14" i="64"/>
  <c r="X15" i="64" s="1"/>
  <c r="X16" i="64" s="1"/>
  <c r="Y14" i="63"/>
  <c r="Y15" i="63" s="1"/>
  <c r="Y16" i="63" s="1"/>
  <c r="Z13" i="63"/>
  <c r="V14" i="62"/>
  <c r="V15" i="62" s="1"/>
  <c r="V16" i="62" s="1"/>
  <c r="W13" i="62"/>
  <c r="U14" i="61"/>
  <c r="U15" i="61" s="1"/>
  <c r="U16" i="61" s="1"/>
  <c r="V13" i="61"/>
  <c r="V13" i="60"/>
  <c r="U14" i="60"/>
  <c r="U15" i="60" s="1"/>
  <c r="U16" i="60" s="1"/>
  <c r="S14" i="59"/>
  <c r="S15" i="59" s="1"/>
  <c r="S16" i="59" s="1"/>
  <c r="T13" i="59"/>
  <c r="S14" i="58"/>
  <c r="S15" i="58" s="1"/>
  <c r="S16" i="58" s="1"/>
  <c r="T13" i="58"/>
  <c r="S13" i="57"/>
  <c r="R14" i="57"/>
  <c r="R15" i="57" s="1"/>
  <c r="R16" i="57" s="1"/>
  <c r="P14" i="56"/>
  <c r="P15" i="56" s="1"/>
  <c r="P16" i="56" s="1"/>
  <c r="Q13" i="56"/>
  <c r="R13" i="56" s="1"/>
  <c r="O14" i="55"/>
  <c r="O15" i="55" s="1"/>
  <c r="O16" i="55" s="1"/>
  <c r="P13" i="55"/>
  <c r="G14" i="54"/>
  <c r="G15" i="54" s="1"/>
  <c r="G16" i="54" s="1"/>
  <c r="H13" i="54"/>
  <c r="I15" i="54"/>
  <c r="I16" i="54" s="1"/>
  <c r="F14" i="54"/>
  <c r="F15" i="54" s="1"/>
  <c r="F16" i="54" s="1"/>
  <c r="E13" i="54"/>
  <c r="Q14" i="53"/>
  <c r="I14" i="53"/>
  <c r="I15" i="53" s="1"/>
  <c r="I16" i="53" s="1"/>
  <c r="AA13" i="53"/>
  <c r="E15" i="53" s="1"/>
  <c r="F13" i="53"/>
  <c r="G13" i="53" s="1"/>
  <c r="G14" i="53" l="1"/>
  <c r="G15" i="53" s="1"/>
  <c r="G16" i="53" s="1"/>
  <c r="H13" i="53"/>
  <c r="H14" i="53" s="1"/>
  <c r="H15" i="53" s="1"/>
  <c r="H16" i="53" s="1"/>
  <c r="F14" i="53"/>
  <c r="Y14" i="64"/>
  <c r="Y15" i="64" s="1"/>
  <c r="Y16" i="64" s="1"/>
  <c r="Z13" i="64"/>
  <c r="Z14" i="63"/>
  <c r="Z15" i="63" s="1"/>
  <c r="Z16" i="63" s="1"/>
  <c r="E17" i="63" s="1"/>
  <c r="AA14" i="63"/>
  <c r="AA15" i="63" s="1"/>
  <c r="AA16" i="63" s="1"/>
  <c r="W14" i="62"/>
  <c r="W15" i="62" s="1"/>
  <c r="W16" i="62" s="1"/>
  <c r="X13" i="62"/>
  <c r="V14" i="61"/>
  <c r="V15" i="61" s="1"/>
  <c r="V16" i="61" s="1"/>
  <c r="W13" i="61"/>
  <c r="W13" i="60"/>
  <c r="V14" i="60"/>
  <c r="V15" i="60" s="1"/>
  <c r="V16" i="60" s="1"/>
  <c r="U13" i="59"/>
  <c r="T14" i="59"/>
  <c r="T15" i="59" s="1"/>
  <c r="T16" i="59" s="1"/>
  <c r="T14" i="58"/>
  <c r="T15" i="58" s="1"/>
  <c r="T16" i="58" s="1"/>
  <c r="U13" i="58"/>
  <c r="S14" i="57"/>
  <c r="S15" i="57" s="1"/>
  <c r="S16" i="57" s="1"/>
  <c r="T13" i="57"/>
  <c r="S13" i="56"/>
  <c r="R14" i="56"/>
  <c r="R15" i="56" s="1"/>
  <c r="R16" i="56" s="1"/>
  <c r="P14" i="55"/>
  <c r="P15" i="55" s="1"/>
  <c r="P16" i="55" s="1"/>
  <c r="Q13" i="55"/>
  <c r="R13" i="55" s="1"/>
  <c r="I13" i="54"/>
  <c r="J13" i="54" s="1"/>
  <c r="H14" i="54"/>
  <c r="H15" i="54" s="1"/>
  <c r="H16" i="54" s="1"/>
  <c r="F15" i="53"/>
  <c r="F16" i="53" s="1"/>
  <c r="Q15" i="53"/>
  <c r="Q16" i="53" s="1"/>
  <c r="E13" i="53"/>
  <c r="I13" i="53"/>
  <c r="J13" i="53" s="1"/>
  <c r="Z14" i="64" l="1"/>
  <c r="Z15" i="64" s="1"/>
  <c r="Z16" i="64" s="1"/>
  <c r="E17" i="64" s="1"/>
  <c r="AA14" i="64"/>
  <c r="AA15" i="64" s="1"/>
  <c r="AA16" i="64" s="1"/>
  <c r="Y13" i="62"/>
  <c r="X14" i="62"/>
  <c r="X15" i="62" s="1"/>
  <c r="X16" i="62" s="1"/>
  <c r="W14" i="61"/>
  <c r="W15" i="61" s="1"/>
  <c r="W16" i="61" s="1"/>
  <c r="X13" i="61"/>
  <c r="W14" i="60"/>
  <c r="W15" i="60" s="1"/>
  <c r="W16" i="60" s="1"/>
  <c r="X13" i="60"/>
  <c r="U14" i="59"/>
  <c r="U15" i="59" s="1"/>
  <c r="U16" i="59" s="1"/>
  <c r="V13" i="59"/>
  <c r="U14" i="58"/>
  <c r="U15" i="58" s="1"/>
  <c r="U16" i="58" s="1"/>
  <c r="V13" i="58"/>
  <c r="T14" i="57"/>
  <c r="T15" i="57" s="1"/>
  <c r="T16" i="57" s="1"/>
  <c r="U13" i="57"/>
  <c r="S14" i="56"/>
  <c r="S15" i="56" s="1"/>
  <c r="S16" i="56" s="1"/>
  <c r="T13" i="56"/>
  <c r="R14" i="55"/>
  <c r="R15" i="55" s="1"/>
  <c r="R16" i="55" s="1"/>
  <c r="S13" i="55"/>
  <c r="J14" i="54"/>
  <c r="J15" i="54" s="1"/>
  <c r="J16" i="54" s="1"/>
  <c r="K13" i="54"/>
  <c r="K13" i="53"/>
  <c r="J14" i="53"/>
  <c r="J15" i="53" s="1"/>
  <c r="J16" i="53" s="1"/>
  <c r="Y14" i="62" l="1"/>
  <c r="Y15" i="62" s="1"/>
  <c r="Y16" i="62" s="1"/>
  <c r="Z13" i="62"/>
  <c r="Y13" i="61"/>
  <c r="X14" i="61"/>
  <c r="X15" i="61" s="1"/>
  <c r="X16" i="61" s="1"/>
  <c r="X14" i="60"/>
  <c r="X15" i="60" s="1"/>
  <c r="X16" i="60" s="1"/>
  <c r="Y13" i="60"/>
  <c r="V14" i="59"/>
  <c r="V15" i="59" s="1"/>
  <c r="V16" i="59" s="1"/>
  <c r="W13" i="59"/>
  <c r="W13" i="58"/>
  <c r="V14" i="58"/>
  <c r="V15" i="58" s="1"/>
  <c r="V16" i="58" s="1"/>
  <c r="U14" i="57"/>
  <c r="U15" i="57" s="1"/>
  <c r="U16" i="57" s="1"/>
  <c r="V13" i="57"/>
  <c r="U13" i="56"/>
  <c r="T14" i="56"/>
  <c r="T15" i="56" s="1"/>
  <c r="T16" i="56" s="1"/>
  <c r="S14" i="55"/>
  <c r="S15" i="55" s="1"/>
  <c r="S16" i="55" s="1"/>
  <c r="T13" i="55"/>
  <c r="K14" i="54"/>
  <c r="K15" i="54" s="1"/>
  <c r="K16" i="54" s="1"/>
  <c r="L13" i="54"/>
  <c r="L13" i="53"/>
  <c r="K14" i="53"/>
  <c r="K15" i="53" s="1"/>
  <c r="K16" i="53" s="1"/>
  <c r="Z14" i="62" l="1"/>
  <c r="Z15" i="62" s="1"/>
  <c r="Z16" i="62" s="1"/>
  <c r="E17" i="62" s="1"/>
  <c r="AA14" i="62"/>
  <c r="AA15" i="62" s="1"/>
  <c r="AA16" i="62" s="1"/>
  <c r="Y14" i="61"/>
  <c r="Y15" i="61" s="1"/>
  <c r="Y16" i="61" s="1"/>
  <c r="Z13" i="61"/>
  <c r="Z13" i="60"/>
  <c r="Y14" i="60"/>
  <c r="Y15" i="60" s="1"/>
  <c r="Y16" i="60" s="1"/>
  <c r="W14" i="59"/>
  <c r="W15" i="59" s="1"/>
  <c r="W16" i="59" s="1"/>
  <c r="X13" i="59"/>
  <c r="W14" i="58"/>
  <c r="W15" i="58" s="1"/>
  <c r="W16" i="58" s="1"/>
  <c r="X13" i="58"/>
  <c r="W13" i="57"/>
  <c r="V14" i="57"/>
  <c r="V15" i="57" s="1"/>
  <c r="V16" i="57" s="1"/>
  <c r="U14" i="56"/>
  <c r="U15" i="56" s="1"/>
  <c r="U16" i="56" s="1"/>
  <c r="V13" i="56"/>
  <c r="T14" i="55"/>
  <c r="T15" i="55" s="1"/>
  <c r="T16" i="55" s="1"/>
  <c r="U13" i="55"/>
  <c r="L14" i="54"/>
  <c r="L15" i="54" s="1"/>
  <c r="L16" i="54" s="1"/>
  <c r="M13" i="54"/>
  <c r="L14" i="53"/>
  <c r="L15" i="53" s="1"/>
  <c r="L16" i="53" s="1"/>
  <c r="M13" i="53"/>
  <c r="Z14" i="61" l="1"/>
  <c r="Z15" i="61" s="1"/>
  <c r="Z16" i="61" s="1"/>
  <c r="AA14" i="61"/>
  <c r="AA15" i="61" s="1"/>
  <c r="AA16" i="61" s="1"/>
  <c r="Z14" i="60"/>
  <c r="Z15" i="60" s="1"/>
  <c r="Z16" i="60" s="1"/>
  <c r="E17" i="60" s="1"/>
  <c r="AA14" i="60"/>
  <c r="AA15" i="60" s="1"/>
  <c r="AA16" i="60" s="1"/>
  <c r="Y13" i="59"/>
  <c r="X14" i="59"/>
  <c r="X15" i="59" s="1"/>
  <c r="X16" i="59" s="1"/>
  <c r="X14" i="58"/>
  <c r="X15" i="58" s="1"/>
  <c r="X16" i="58" s="1"/>
  <c r="Y13" i="58"/>
  <c r="W14" i="57"/>
  <c r="W15" i="57" s="1"/>
  <c r="W16" i="57" s="1"/>
  <c r="X13" i="57"/>
  <c r="W13" i="56"/>
  <c r="V14" i="56"/>
  <c r="V15" i="56" s="1"/>
  <c r="V16" i="56" s="1"/>
  <c r="V13" i="55"/>
  <c r="U14" i="55"/>
  <c r="U15" i="55" s="1"/>
  <c r="U16" i="55" s="1"/>
  <c r="M14" i="54"/>
  <c r="M15" i="54" s="1"/>
  <c r="M16" i="54" s="1"/>
  <c r="N13" i="54"/>
  <c r="M14" i="53"/>
  <c r="M15" i="53" s="1"/>
  <c r="M16" i="53" s="1"/>
  <c r="N13" i="53"/>
  <c r="E17" i="61" l="1"/>
  <c r="Y14" i="59"/>
  <c r="Y15" i="59" s="1"/>
  <c r="Y16" i="59" s="1"/>
  <c r="Z13" i="59"/>
  <c r="Y14" i="58"/>
  <c r="Y15" i="58" s="1"/>
  <c r="Y16" i="58" s="1"/>
  <c r="Z13" i="58"/>
  <c r="X14" i="57"/>
  <c r="X15" i="57" s="1"/>
  <c r="X16" i="57" s="1"/>
  <c r="Y13" i="57"/>
  <c r="W14" i="56"/>
  <c r="W15" i="56" s="1"/>
  <c r="W16" i="56" s="1"/>
  <c r="X13" i="56"/>
  <c r="V14" i="55"/>
  <c r="V15" i="55" s="1"/>
  <c r="V16" i="55" s="1"/>
  <c r="W13" i="55"/>
  <c r="N14" i="54"/>
  <c r="N15" i="54" s="1"/>
  <c r="N16" i="54" s="1"/>
  <c r="O13" i="54"/>
  <c r="O13" i="53"/>
  <c r="N14" i="53"/>
  <c r="N15" i="53" s="1"/>
  <c r="N16" i="53" s="1"/>
  <c r="Z14" i="59" l="1"/>
  <c r="Z15" i="59" s="1"/>
  <c r="Z16" i="59" s="1"/>
  <c r="E17" i="59" s="1"/>
  <c r="AA14" i="59"/>
  <c r="AA15" i="59" s="1"/>
  <c r="AA16" i="59" s="1"/>
  <c r="AA14" i="58"/>
  <c r="AA15" i="58" s="1"/>
  <c r="AA16" i="58" s="1"/>
  <c r="Z14" i="58"/>
  <c r="Z15" i="58" s="1"/>
  <c r="Z16" i="58" s="1"/>
  <c r="E17" i="58" s="1"/>
  <c r="Y14" i="57"/>
  <c r="Y15" i="57" s="1"/>
  <c r="Y16" i="57" s="1"/>
  <c r="Z13" i="57"/>
  <c r="X14" i="56"/>
  <c r="X15" i="56" s="1"/>
  <c r="X16" i="56" s="1"/>
  <c r="Y13" i="56"/>
  <c r="W14" i="55"/>
  <c r="W15" i="55" s="1"/>
  <c r="W16" i="55" s="1"/>
  <c r="X13" i="55"/>
  <c r="O14" i="54"/>
  <c r="O15" i="54" s="1"/>
  <c r="O16" i="54" s="1"/>
  <c r="P13" i="54"/>
  <c r="O14" i="53"/>
  <c r="O15" i="53" s="1"/>
  <c r="O16" i="53" s="1"/>
  <c r="P13" i="53"/>
  <c r="AA14" i="57" l="1"/>
  <c r="AA15" i="57" s="1"/>
  <c r="AA16" i="57" s="1"/>
  <c r="Z14" i="57"/>
  <c r="Z15" i="57" s="1"/>
  <c r="Z16" i="57" s="1"/>
  <c r="E17" i="57" s="1"/>
  <c r="Y14" i="56"/>
  <c r="Y15" i="56" s="1"/>
  <c r="Y16" i="56" s="1"/>
  <c r="Z13" i="56"/>
  <c r="X14" i="55"/>
  <c r="X15" i="55" s="1"/>
  <c r="X16" i="55" s="1"/>
  <c r="Y13" i="55"/>
  <c r="Q13" i="54"/>
  <c r="R13" i="54" s="1"/>
  <c r="P14" i="54"/>
  <c r="P15" i="54" s="1"/>
  <c r="P16" i="54" s="1"/>
  <c r="P14" i="53"/>
  <c r="P15" i="53" s="1"/>
  <c r="P16" i="53" s="1"/>
  <c r="Q13" i="53"/>
  <c r="R13" i="53" s="1"/>
  <c r="Z14" i="56" l="1"/>
  <c r="Z15" i="56" s="1"/>
  <c r="Z16" i="56" s="1"/>
  <c r="E17" i="56" s="1"/>
  <c r="AA14" i="56"/>
  <c r="AA15" i="56" s="1"/>
  <c r="AA16" i="56" s="1"/>
  <c r="Z13" i="55"/>
  <c r="Y14" i="55"/>
  <c r="Y15" i="55" s="1"/>
  <c r="Y16" i="55" s="1"/>
  <c r="R14" i="54"/>
  <c r="R15" i="54" s="1"/>
  <c r="R16" i="54" s="1"/>
  <c r="S13" i="54"/>
  <c r="S13" i="53"/>
  <c r="R14" i="53"/>
  <c r="R15" i="53" s="1"/>
  <c r="R16" i="53" s="1"/>
  <c r="Z14" i="55" l="1"/>
  <c r="Z15" i="55" s="1"/>
  <c r="Z16" i="55" s="1"/>
  <c r="E17" i="55" s="1"/>
  <c r="AA14" i="55"/>
  <c r="AA15" i="55" s="1"/>
  <c r="AA16" i="55" s="1"/>
  <c r="S14" i="54"/>
  <c r="S15" i="54" s="1"/>
  <c r="S16" i="54" s="1"/>
  <c r="T13" i="54"/>
  <c r="T13" i="53"/>
  <c r="S14" i="53"/>
  <c r="S15" i="53" s="1"/>
  <c r="S16" i="53" s="1"/>
  <c r="T14" i="54" l="1"/>
  <c r="T15" i="54" s="1"/>
  <c r="T16" i="54" s="1"/>
  <c r="U13" i="54"/>
  <c r="T14" i="53"/>
  <c r="T15" i="53" s="1"/>
  <c r="T16" i="53" s="1"/>
  <c r="U13" i="53"/>
  <c r="V13" i="54" l="1"/>
  <c r="U14" i="54"/>
  <c r="U15" i="54" s="1"/>
  <c r="U16" i="54" s="1"/>
  <c r="U14" i="53"/>
  <c r="U15" i="53" s="1"/>
  <c r="U16" i="53" s="1"/>
  <c r="V13" i="53"/>
  <c r="V14" i="54" l="1"/>
  <c r="V15" i="54" s="1"/>
  <c r="V16" i="54" s="1"/>
  <c r="W13" i="54"/>
  <c r="W13" i="53"/>
  <c r="V14" i="53"/>
  <c r="V15" i="53" s="1"/>
  <c r="V16" i="53" s="1"/>
  <c r="W14" i="54" l="1"/>
  <c r="W15" i="54" s="1"/>
  <c r="W16" i="54" s="1"/>
  <c r="X13" i="54"/>
  <c r="W14" i="53"/>
  <c r="W15" i="53" s="1"/>
  <c r="W16" i="53" s="1"/>
  <c r="X13" i="53"/>
  <c r="Y13" i="54" l="1"/>
  <c r="X14" i="54"/>
  <c r="X15" i="54" s="1"/>
  <c r="X16" i="54" s="1"/>
  <c r="X14" i="53"/>
  <c r="X15" i="53" s="1"/>
  <c r="X16" i="53" s="1"/>
  <c r="Y13" i="53"/>
  <c r="Y14" i="54" l="1"/>
  <c r="Y15" i="54" s="1"/>
  <c r="Y16" i="54" s="1"/>
  <c r="Z13" i="54"/>
  <c r="Y14" i="53"/>
  <c r="Y15" i="53" s="1"/>
  <c r="Y16" i="53" s="1"/>
  <c r="Z13" i="53"/>
  <c r="Z14" i="54" l="1"/>
  <c r="Z15" i="54" s="1"/>
  <c r="Z16" i="54" s="1"/>
  <c r="AA14" i="54"/>
  <c r="AA15" i="54" s="1"/>
  <c r="AA16" i="54" s="1"/>
  <c r="Z14" i="53"/>
  <c r="Z15" i="53" s="1"/>
  <c r="Z16" i="53" s="1"/>
  <c r="E17" i="53" s="1"/>
  <c r="AA14" i="53"/>
  <c r="AA15" i="53" s="1"/>
  <c r="AA16" i="53" s="1"/>
  <c r="E17" i="54" l="1"/>
  <c r="Q14" i="52"/>
  <c r="I14" i="52"/>
  <c r="AA13" i="52"/>
  <c r="E15" i="52" s="1"/>
  <c r="Q15" i="52" s="1"/>
  <c r="Q16" i="52" s="1"/>
  <c r="F13" i="52"/>
  <c r="F14" i="52" l="1"/>
  <c r="F15" i="52" s="1"/>
  <c r="F16" i="52" s="1"/>
  <c r="G13" i="52"/>
  <c r="I15" i="52"/>
  <c r="I16" i="52" s="1"/>
  <c r="E13" i="52"/>
  <c r="Q14" i="51"/>
  <c r="I14" i="51"/>
  <c r="AA13" i="51"/>
  <c r="E15" i="51" s="1"/>
  <c r="Q15" i="51" s="1"/>
  <c r="Q16" i="51" s="1"/>
  <c r="F13" i="51"/>
  <c r="G13" i="51" s="1"/>
  <c r="G14" i="52" l="1"/>
  <c r="G15" i="52" s="1"/>
  <c r="G16" i="52" s="1"/>
  <c r="H13" i="52"/>
  <c r="G14" i="51"/>
  <c r="G15" i="51" s="1"/>
  <c r="G16" i="51" s="1"/>
  <c r="H13" i="51"/>
  <c r="I15" i="51"/>
  <c r="I16" i="51" s="1"/>
  <c r="F14" i="51"/>
  <c r="F15" i="51" s="1"/>
  <c r="F16" i="51" s="1"/>
  <c r="E13" i="51"/>
  <c r="E15" i="50"/>
  <c r="Q15" i="50" s="1"/>
  <c r="Q16" i="50" s="1"/>
  <c r="Q14" i="50"/>
  <c r="I14" i="50"/>
  <c r="AA13" i="50"/>
  <c r="F13" i="50"/>
  <c r="F14" i="50" s="1"/>
  <c r="F15" i="50" l="1"/>
  <c r="F16" i="50" s="1"/>
  <c r="I13" i="52"/>
  <c r="J13" i="52" s="1"/>
  <c r="H14" i="52"/>
  <c r="H15" i="52" s="1"/>
  <c r="H16" i="52" s="1"/>
  <c r="I13" i="51"/>
  <c r="J13" i="51" s="1"/>
  <c r="H14" i="51"/>
  <c r="H15" i="51" s="1"/>
  <c r="H16" i="51" s="1"/>
  <c r="I15" i="50"/>
  <c r="I16" i="50" s="1"/>
  <c r="G13" i="50"/>
  <c r="E13" i="50"/>
  <c r="Q14" i="49"/>
  <c r="I14" i="49"/>
  <c r="AA13" i="49"/>
  <c r="E15" i="49" s="1"/>
  <c r="F13" i="49"/>
  <c r="G13" i="49" s="1"/>
  <c r="E13" i="49"/>
  <c r="F14" i="49" l="1"/>
  <c r="F15" i="49" s="1"/>
  <c r="F16" i="49" s="1"/>
  <c r="J14" i="52"/>
  <c r="J15" i="52" s="1"/>
  <c r="J16" i="52" s="1"/>
  <c r="K13" i="52"/>
  <c r="J14" i="51"/>
  <c r="J15" i="51" s="1"/>
  <c r="J16" i="51" s="1"/>
  <c r="K13" i="51"/>
  <c r="G14" i="50"/>
  <c r="G15" i="50" s="1"/>
  <c r="G16" i="50" s="1"/>
  <c r="H13" i="50"/>
  <c r="Q15" i="49"/>
  <c r="Q16" i="49" s="1"/>
  <c r="G14" i="49"/>
  <c r="G15" i="49" s="1"/>
  <c r="G16" i="49" s="1"/>
  <c r="H13" i="49"/>
  <c r="I15" i="49"/>
  <c r="I16" i="49" s="1"/>
  <c r="Q14" i="48"/>
  <c r="I14" i="48"/>
  <c r="F14" i="48"/>
  <c r="AA13" i="48"/>
  <c r="E13" i="48" s="1"/>
  <c r="F13" i="48"/>
  <c r="G13" i="48" s="1"/>
  <c r="E15" i="48" l="1"/>
  <c r="Q15" i="48" s="1"/>
  <c r="Q16" i="48" s="1"/>
  <c r="K14" i="52"/>
  <c r="K15" i="52" s="1"/>
  <c r="K16" i="52" s="1"/>
  <c r="L13" i="52"/>
  <c r="K14" i="51"/>
  <c r="K15" i="51" s="1"/>
  <c r="K16" i="51" s="1"/>
  <c r="L13" i="51"/>
  <c r="I13" i="50"/>
  <c r="J13" i="50" s="1"/>
  <c r="H14" i="50"/>
  <c r="H15" i="50" s="1"/>
  <c r="H16" i="50" s="1"/>
  <c r="H14" i="49"/>
  <c r="H15" i="49" s="1"/>
  <c r="H16" i="49" s="1"/>
  <c r="I13" i="49"/>
  <c r="J13" i="49" s="1"/>
  <c r="G14" i="48"/>
  <c r="G15" i="48" s="1"/>
  <c r="G16" i="48" s="1"/>
  <c r="H13" i="48"/>
  <c r="I15" i="48"/>
  <c r="I16" i="48" s="1"/>
  <c r="E15" i="46"/>
  <c r="Q14" i="46"/>
  <c r="I14" i="46"/>
  <c r="AA13" i="46"/>
  <c r="F13" i="46"/>
  <c r="F14" i="46" s="1"/>
  <c r="E13" i="46"/>
  <c r="Q15" i="46" l="1"/>
  <c r="Q16" i="46" s="1"/>
  <c r="F15" i="46"/>
  <c r="F16" i="46" s="1"/>
  <c r="F15" i="48"/>
  <c r="F16" i="48" s="1"/>
  <c r="M13" i="52"/>
  <c r="L14" i="52"/>
  <c r="L15" i="52" s="1"/>
  <c r="L16" i="52" s="1"/>
  <c r="L14" i="51"/>
  <c r="L15" i="51" s="1"/>
  <c r="L16" i="51" s="1"/>
  <c r="M13" i="51"/>
  <c r="J14" i="50"/>
  <c r="J15" i="50" s="1"/>
  <c r="J16" i="50" s="1"/>
  <c r="K13" i="50"/>
  <c r="K13" i="49"/>
  <c r="J14" i="49"/>
  <c r="J15" i="49" s="1"/>
  <c r="J16" i="49" s="1"/>
  <c r="H14" i="48"/>
  <c r="H15" i="48" s="1"/>
  <c r="H16" i="48" s="1"/>
  <c r="I13" i="48"/>
  <c r="J13" i="48" s="1"/>
  <c r="I15" i="46"/>
  <c r="I16" i="46" s="1"/>
  <c r="G13" i="46"/>
  <c r="M14" i="52" l="1"/>
  <c r="M15" i="52" s="1"/>
  <c r="M16" i="52" s="1"/>
  <c r="N13" i="52"/>
  <c r="N13" i="51"/>
  <c r="M14" i="51"/>
  <c r="M15" i="51" s="1"/>
  <c r="M16" i="51" s="1"/>
  <c r="K14" i="50"/>
  <c r="K15" i="50" s="1"/>
  <c r="K16" i="50" s="1"/>
  <c r="L13" i="50"/>
  <c r="K14" i="49"/>
  <c r="K15" i="49" s="1"/>
  <c r="K16" i="49" s="1"/>
  <c r="L13" i="49"/>
  <c r="K13" i="48"/>
  <c r="J14" i="48"/>
  <c r="J15" i="48" s="1"/>
  <c r="J16" i="48" s="1"/>
  <c r="H13" i="46"/>
  <c r="G14" i="46"/>
  <c r="G15" i="46" s="1"/>
  <c r="G16" i="46" s="1"/>
  <c r="N14" i="52" l="1"/>
  <c r="N15" i="52" s="1"/>
  <c r="N16" i="52" s="1"/>
  <c r="O13" i="52"/>
  <c r="N14" i="51"/>
  <c r="N15" i="51" s="1"/>
  <c r="N16" i="51" s="1"/>
  <c r="O13" i="51"/>
  <c r="L14" i="50"/>
  <c r="L15" i="50" s="1"/>
  <c r="L16" i="50" s="1"/>
  <c r="M13" i="50"/>
  <c r="L14" i="49"/>
  <c r="L15" i="49" s="1"/>
  <c r="L16" i="49" s="1"/>
  <c r="M13" i="49"/>
  <c r="K14" i="48"/>
  <c r="K15" i="48" s="1"/>
  <c r="K16" i="48" s="1"/>
  <c r="L13" i="48"/>
  <c r="H14" i="46"/>
  <c r="H15" i="46" s="1"/>
  <c r="H16" i="46" s="1"/>
  <c r="I13" i="46"/>
  <c r="J13" i="46" s="1"/>
  <c r="O14" i="52" l="1"/>
  <c r="O15" i="52" s="1"/>
  <c r="O16" i="52" s="1"/>
  <c r="P13" i="52"/>
  <c r="O14" i="51"/>
  <c r="O15" i="51" s="1"/>
  <c r="O16" i="51" s="1"/>
  <c r="P13" i="51"/>
  <c r="M14" i="50"/>
  <c r="M15" i="50" s="1"/>
  <c r="M16" i="50" s="1"/>
  <c r="N13" i="50"/>
  <c r="M14" i="49"/>
  <c r="M15" i="49" s="1"/>
  <c r="M16" i="49" s="1"/>
  <c r="N13" i="49"/>
  <c r="O13" i="49" s="1"/>
  <c r="L14" i="48"/>
  <c r="L15" i="48" s="1"/>
  <c r="L16" i="48" s="1"/>
  <c r="M13" i="48"/>
  <c r="J14" i="46"/>
  <c r="J15" i="46" s="1"/>
  <c r="J16" i="46" s="1"/>
  <c r="K13" i="46"/>
  <c r="Q14" i="45"/>
  <c r="I14" i="45"/>
  <c r="AA13" i="45"/>
  <c r="E15" i="45" s="1"/>
  <c r="Q15" i="45" s="1"/>
  <c r="Q16" i="45" s="1"/>
  <c r="F13" i="45"/>
  <c r="G13" i="45" s="1"/>
  <c r="Q14" i="44"/>
  <c r="I14" i="44"/>
  <c r="AA13" i="44"/>
  <c r="E15" i="44" s="1"/>
  <c r="Q15" i="44" s="1"/>
  <c r="Q16" i="44" s="1"/>
  <c r="F13" i="44"/>
  <c r="G13" i="44" s="1"/>
  <c r="Q13" i="52" l="1"/>
  <c r="R13" i="52" s="1"/>
  <c r="P14" i="52"/>
  <c r="P15" i="52" s="1"/>
  <c r="P16" i="52" s="1"/>
  <c r="Q13" i="51"/>
  <c r="R13" i="51" s="1"/>
  <c r="P14" i="51"/>
  <c r="P15" i="51" s="1"/>
  <c r="P16" i="51" s="1"/>
  <c r="N14" i="50"/>
  <c r="N15" i="50" s="1"/>
  <c r="N16" i="50" s="1"/>
  <c r="O13" i="50"/>
  <c r="N14" i="49"/>
  <c r="N15" i="49" s="1"/>
  <c r="N16" i="49" s="1"/>
  <c r="M14" i="48"/>
  <c r="M15" i="48" s="1"/>
  <c r="M16" i="48" s="1"/>
  <c r="N13" i="48"/>
  <c r="L13" i="46"/>
  <c r="K14" i="46"/>
  <c r="K15" i="46" s="1"/>
  <c r="K16" i="46" s="1"/>
  <c r="G14" i="45"/>
  <c r="G15" i="45" s="1"/>
  <c r="G16" i="45" s="1"/>
  <c r="H13" i="45"/>
  <c r="F14" i="45"/>
  <c r="F15" i="45" s="1"/>
  <c r="F16" i="45" s="1"/>
  <c r="I15" i="45"/>
  <c r="I16" i="45" s="1"/>
  <c r="E13" i="45"/>
  <c r="G14" i="44"/>
  <c r="G15" i="44" s="1"/>
  <c r="G16" i="44" s="1"/>
  <c r="H13" i="44"/>
  <c r="F14" i="44"/>
  <c r="F15" i="44" s="1"/>
  <c r="F16" i="44" s="1"/>
  <c r="I15" i="44"/>
  <c r="I16" i="44" s="1"/>
  <c r="E13" i="44"/>
  <c r="E15" i="43"/>
  <c r="Q14" i="43"/>
  <c r="I14" i="43"/>
  <c r="AA13" i="43"/>
  <c r="F13" i="43"/>
  <c r="F14" i="43" s="1"/>
  <c r="E13" i="43"/>
  <c r="Q15" i="43" l="1"/>
  <c r="Q16" i="43" s="1"/>
  <c r="F15" i="43"/>
  <c r="F16" i="43" s="1"/>
  <c r="R14" i="52"/>
  <c r="R15" i="52" s="1"/>
  <c r="R16" i="52" s="1"/>
  <c r="S13" i="52"/>
  <c r="R14" i="51"/>
  <c r="R15" i="51" s="1"/>
  <c r="R16" i="51" s="1"/>
  <c r="S13" i="51"/>
  <c r="O14" i="50"/>
  <c r="O15" i="50" s="1"/>
  <c r="O16" i="50" s="1"/>
  <c r="P13" i="50"/>
  <c r="O14" i="49"/>
  <c r="O15" i="49" s="1"/>
  <c r="O16" i="49" s="1"/>
  <c r="P13" i="49"/>
  <c r="O13" i="48"/>
  <c r="N14" i="48"/>
  <c r="N15" i="48" s="1"/>
  <c r="N16" i="48" s="1"/>
  <c r="L14" i="46"/>
  <c r="L15" i="46" s="1"/>
  <c r="L16" i="46" s="1"/>
  <c r="M13" i="46"/>
  <c r="I13" i="45"/>
  <c r="J13" i="45" s="1"/>
  <c r="H14" i="45"/>
  <c r="H15" i="45" s="1"/>
  <c r="H16" i="45" s="1"/>
  <c r="I13" i="44"/>
  <c r="J13" i="44" s="1"/>
  <c r="H14" i="44"/>
  <c r="H15" i="44" s="1"/>
  <c r="H16" i="44" s="1"/>
  <c r="I15" i="43"/>
  <c r="I16" i="43" s="1"/>
  <c r="G13" i="43"/>
  <c r="Q14" i="42"/>
  <c r="I14" i="42"/>
  <c r="AA13" i="42"/>
  <c r="E15" i="42" s="1"/>
  <c r="Q15" i="42" s="1"/>
  <c r="Q16" i="42" s="1"/>
  <c r="F13" i="42"/>
  <c r="S14" i="52" l="1"/>
  <c r="S15" i="52" s="1"/>
  <c r="S16" i="52" s="1"/>
  <c r="T13" i="52"/>
  <c r="S14" i="51"/>
  <c r="S15" i="51" s="1"/>
  <c r="S16" i="51" s="1"/>
  <c r="T13" i="51"/>
  <c r="Q13" i="50"/>
  <c r="R13" i="50" s="1"/>
  <c r="P14" i="50"/>
  <c r="P15" i="50" s="1"/>
  <c r="P16" i="50" s="1"/>
  <c r="P14" i="49"/>
  <c r="P15" i="49" s="1"/>
  <c r="P16" i="49" s="1"/>
  <c r="Q13" i="49"/>
  <c r="R13" i="49" s="1"/>
  <c r="O14" i="48"/>
  <c r="O15" i="48" s="1"/>
  <c r="O16" i="48" s="1"/>
  <c r="P13" i="48"/>
  <c r="M14" i="46"/>
  <c r="M15" i="46" s="1"/>
  <c r="M16" i="46" s="1"/>
  <c r="N13" i="46"/>
  <c r="K13" i="45"/>
  <c r="J14" i="45"/>
  <c r="J15" i="45" s="1"/>
  <c r="J16" i="45" s="1"/>
  <c r="K13" i="44"/>
  <c r="J14" i="44"/>
  <c r="J15" i="44" s="1"/>
  <c r="J16" i="44" s="1"/>
  <c r="H13" i="43"/>
  <c r="G14" i="43"/>
  <c r="G15" i="43" s="1"/>
  <c r="G16" i="43" s="1"/>
  <c r="F14" i="42"/>
  <c r="F15" i="42" s="1"/>
  <c r="F16" i="42" s="1"/>
  <c r="G13" i="42"/>
  <c r="I15" i="42"/>
  <c r="I16" i="42" s="1"/>
  <c r="E13" i="42"/>
  <c r="E15" i="41"/>
  <c r="Q14" i="41"/>
  <c r="I14" i="41"/>
  <c r="AA13" i="41"/>
  <c r="F13" i="41"/>
  <c r="F14" i="41" s="1"/>
  <c r="E13" i="41"/>
  <c r="Q15" i="41" l="1"/>
  <c r="Q16" i="41" s="1"/>
  <c r="F15" i="41"/>
  <c r="F16" i="41" s="1"/>
  <c r="U13" i="52"/>
  <c r="T14" i="52"/>
  <c r="T15" i="52" s="1"/>
  <c r="T16" i="52" s="1"/>
  <c r="U13" i="51"/>
  <c r="T14" i="51"/>
  <c r="T15" i="51" s="1"/>
  <c r="T16" i="51" s="1"/>
  <c r="R14" i="50"/>
  <c r="R15" i="50" s="1"/>
  <c r="R16" i="50" s="1"/>
  <c r="S13" i="50"/>
  <c r="S13" i="49"/>
  <c r="R14" i="49"/>
  <c r="R15" i="49" s="1"/>
  <c r="R16" i="49" s="1"/>
  <c r="P14" i="48"/>
  <c r="P15" i="48" s="1"/>
  <c r="P16" i="48" s="1"/>
  <c r="Q13" i="48"/>
  <c r="R13" i="48" s="1"/>
  <c r="N14" i="46"/>
  <c r="N15" i="46" s="1"/>
  <c r="N16" i="46" s="1"/>
  <c r="O13" i="46"/>
  <c r="K14" i="45"/>
  <c r="K15" i="45" s="1"/>
  <c r="K16" i="45" s="1"/>
  <c r="L13" i="45"/>
  <c r="K14" i="44"/>
  <c r="K15" i="44" s="1"/>
  <c r="K16" i="44" s="1"/>
  <c r="L13" i="44"/>
  <c r="H14" i="43"/>
  <c r="H15" i="43" s="1"/>
  <c r="H16" i="43" s="1"/>
  <c r="I13" i="43"/>
  <c r="J13" i="43" s="1"/>
  <c r="G14" i="42"/>
  <c r="G15" i="42" s="1"/>
  <c r="G16" i="42" s="1"/>
  <c r="H13" i="42"/>
  <c r="I15" i="41"/>
  <c r="I16" i="41" s="1"/>
  <c r="G13" i="41"/>
  <c r="Q14" i="40"/>
  <c r="I14" i="40"/>
  <c r="AA13" i="40"/>
  <c r="E15" i="40" s="1"/>
  <c r="Q15" i="40" s="1"/>
  <c r="Q16" i="40" s="1"/>
  <c r="F13" i="40"/>
  <c r="G13" i="40" s="1"/>
  <c r="E13" i="40"/>
  <c r="F14" i="40" l="1"/>
  <c r="F15" i="40" s="1"/>
  <c r="F16" i="40" s="1"/>
  <c r="U14" i="52"/>
  <c r="U15" i="52" s="1"/>
  <c r="U16" i="52" s="1"/>
  <c r="V13" i="52"/>
  <c r="V13" i="51"/>
  <c r="U14" i="51"/>
  <c r="U15" i="51" s="1"/>
  <c r="U16" i="51" s="1"/>
  <c r="S14" i="50"/>
  <c r="S15" i="50" s="1"/>
  <c r="S16" i="50" s="1"/>
  <c r="T13" i="50"/>
  <c r="S14" i="49"/>
  <c r="S15" i="49" s="1"/>
  <c r="S16" i="49" s="1"/>
  <c r="T13" i="49"/>
  <c r="S13" i="48"/>
  <c r="R14" i="48"/>
  <c r="R15" i="48" s="1"/>
  <c r="R16" i="48" s="1"/>
  <c r="P13" i="46"/>
  <c r="O14" i="46"/>
  <c r="O15" i="46" s="1"/>
  <c r="O16" i="46" s="1"/>
  <c r="M13" i="45"/>
  <c r="L14" i="45"/>
  <c r="L15" i="45" s="1"/>
  <c r="L16" i="45" s="1"/>
  <c r="M13" i="44"/>
  <c r="L14" i="44"/>
  <c r="L15" i="44" s="1"/>
  <c r="L16" i="44" s="1"/>
  <c r="J14" i="43"/>
  <c r="J15" i="43" s="1"/>
  <c r="J16" i="43" s="1"/>
  <c r="K13" i="43"/>
  <c r="I13" i="42"/>
  <c r="J13" i="42" s="1"/>
  <c r="H14" i="42"/>
  <c r="H15" i="42" s="1"/>
  <c r="H16" i="42" s="1"/>
  <c r="G14" i="41"/>
  <c r="G15" i="41" s="1"/>
  <c r="G16" i="41" s="1"/>
  <c r="H13" i="41"/>
  <c r="G14" i="40"/>
  <c r="G15" i="40" s="1"/>
  <c r="G16" i="40" s="1"/>
  <c r="H13" i="40"/>
  <c r="I15" i="40"/>
  <c r="I16" i="40" s="1"/>
  <c r="Q14" i="39"/>
  <c r="I14" i="39"/>
  <c r="AA13" i="39"/>
  <c r="E15" i="39" s="1"/>
  <c r="Q15" i="39" s="1"/>
  <c r="Q16" i="39" s="1"/>
  <c r="F13" i="39"/>
  <c r="F14" i="39" s="1"/>
  <c r="E13" i="39"/>
  <c r="Q14" i="38"/>
  <c r="I14" i="38"/>
  <c r="AA13" i="38"/>
  <c r="E15" i="38" s="1"/>
  <c r="Q15" i="38" s="1"/>
  <c r="Q16" i="38" s="1"/>
  <c r="F13" i="38"/>
  <c r="F14" i="38" s="1"/>
  <c r="F15" i="39" l="1"/>
  <c r="F16" i="39" s="1"/>
  <c r="F15" i="38"/>
  <c r="F16" i="38" s="1"/>
  <c r="V14" i="52"/>
  <c r="V15" i="52" s="1"/>
  <c r="V16" i="52" s="1"/>
  <c r="W13" i="52"/>
  <c r="V14" i="51"/>
  <c r="V15" i="51" s="1"/>
  <c r="V16" i="51" s="1"/>
  <c r="W13" i="51"/>
  <c r="U13" i="50"/>
  <c r="T14" i="50"/>
  <c r="T15" i="50" s="1"/>
  <c r="T16" i="50" s="1"/>
  <c r="T14" i="49"/>
  <c r="T15" i="49" s="1"/>
  <c r="T16" i="49" s="1"/>
  <c r="U13" i="49"/>
  <c r="S14" i="48"/>
  <c r="S15" i="48" s="1"/>
  <c r="S16" i="48" s="1"/>
  <c r="T13" i="48"/>
  <c r="P14" i="46"/>
  <c r="P15" i="46" s="1"/>
  <c r="P16" i="46" s="1"/>
  <c r="Q13" i="46"/>
  <c r="R13" i="46" s="1"/>
  <c r="M14" i="45"/>
  <c r="M15" i="45" s="1"/>
  <c r="M16" i="45" s="1"/>
  <c r="N13" i="45"/>
  <c r="M14" i="44"/>
  <c r="M15" i="44" s="1"/>
  <c r="M16" i="44" s="1"/>
  <c r="N13" i="44"/>
  <c r="L13" i="43"/>
  <c r="K14" i="43"/>
  <c r="K15" i="43" s="1"/>
  <c r="K16" i="43" s="1"/>
  <c r="J14" i="42"/>
  <c r="J15" i="42" s="1"/>
  <c r="J16" i="42" s="1"/>
  <c r="K13" i="42"/>
  <c r="H14" i="41"/>
  <c r="H15" i="41" s="1"/>
  <c r="H16" i="41" s="1"/>
  <c r="I13" i="41"/>
  <c r="J13" i="41" s="1"/>
  <c r="H14" i="40"/>
  <c r="H15" i="40" s="1"/>
  <c r="H16" i="40" s="1"/>
  <c r="I13" i="40"/>
  <c r="J13" i="40" s="1"/>
  <c r="I15" i="39"/>
  <c r="I16" i="39" s="1"/>
  <c r="G13" i="39"/>
  <c r="I15" i="38"/>
  <c r="I16" i="38" s="1"/>
  <c r="G13" i="38"/>
  <c r="E13" i="38"/>
  <c r="E15" i="37"/>
  <c r="Q15" i="37" s="1"/>
  <c r="Q16" i="37" s="1"/>
  <c r="Q14" i="37"/>
  <c r="I14" i="37"/>
  <c r="AA13" i="37"/>
  <c r="F13" i="37"/>
  <c r="W14" i="52" l="1"/>
  <c r="W15" i="52" s="1"/>
  <c r="W16" i="52" s="1"/>
  <c r="X13" i="52"/>
  <c r="W14" i="51"/>
  <c r="W15" i="51" s="1"/>
  <c r="W16" i="51" s="1"/>
  <c r="X13" i="51"/>
  <c r="V13" i="50"/>
  <c r="U14" i="50"/>
  <c r="U15" i="50" s="1"/>
  <c r="U16" i="50" s="1"/>
  <c r="U14" i="49"/>
  <c r="U15" i="49" s="1"/>
  <c r="U16" i="49" s="1"/>
  <c r="V13" i="49"/>
  <c r="T14" i="48"/>
  <c r="T15" i="48" s="1"/>
  <c r="T16" i="48" s="1"/>
  <c r="U13" i="48"/>
  <c r="R14" i="46"/>
  <c r="R15" i="46" s="1"/>
  <c r="R16" i="46" s="1"/>
  <c r="S13" i="46"/>
  <c r="O13" i="45"/>
  <c r="N14" i="45"/>
  <c r="N15" i="45" s="1"/>
  <c r="N16" i="45" s="1"/>
  <c r="O13" i="44"/>
  <c r="N14" i="44"/>
  <c r="N15" i="44" s="1"/>
  <c r="N16" i="44" s="1"/>
  <c r="L14" i="43"/>
  <c r="L15" i="43" s="1"/>
  <c r="L16" i="43" s="1"/>
  <c r="M13" i="43"/>
  <c r="K14" i="42"/>
  <c r="K15" i="42" s="1"/>
  <c r="K16" i="42" s="1"/>
  <c r="L13" i="42"/>
  <c r="K13" i="41"/>
  <c r="J14" i="41"/>
  <c r="J15" i="41" s="1"/>
  <c r="J16" i="41" s="1"/>
  <c r="K13" i="40"/>
  <c r="J14" i="40"/>
  <c r="J15" i="40" s="1"/>
  <c r="J16" i="40" s="1"/>
  <c r="H13" i="39"/>
  <c r="G14" i="39"/>
  <c r="G15" i="39" s="1"/>
  <c r="G16" i="39" s="1"/>
  <c r="G14" i="38"/>
  <c r="G15" i="38" s="1"/>
  <c r="G16" i="38" s="1"/>
  <c r="H13" i="38"/>
  <c r="F14" i="37"/>
  <c r="F15" i="37" s="1"/>
  <c r="F16" i="37" s="1"/>
  <c r="G13" i="37"/>
  <c r="I15" i="37"/>
  <c r="I16" i="37" s="1"/>
  <c r="E13" i="37"/>
  <c r="E15" i="36"/>
  <c r="Q14" i="36"/>
  <c r="I14" i="36"/>
  <c r="AA13" i="36"/>
  <c r="F13" i="36"/>
  <c r="F14" i="36" s="1"/>
  <c r="F15" i="36" s="1"/>
  <c r="F16" i="36" s="1"/>
  <c r="E13" i="36"/>
  <c r="Q15" i="36" l="1"/>
  <c r="Q16" i="36" s="1"/>
  <c r="Y13" i="52"/>
  <c r="X14" i="52"/>
  <c r="X15" i="52" s="1"/>
  <c r="X16" i="52" s="1"/>
  <c r="X14" i="51"/>
  <c r="X15" i="51" s="1"/>
  <c r="X16" i="51" s="1"/>
  <c r="Y13" i="51"/>
  <c r="V14" i="50"/>
  <c r="V15" i="50" s="1"/>
  <c r="V16" i="50" s="1"/>
  <c r="W13" i="50"/>
  <c r="W13" i="49"/>
  <c r="V14" i="49"/>
  <c r="V15" i="49" s="1"/>
  <c r="V16" i="49" s="1"/>
  <c r="U14" i="48"/>
  <c r="U15" i="48" s="1"/>
  <c r="U16" i="48" s="1"/>
  <c r="V13" i="48"/>
  <c r="T13" i="46"/>
  <c r="S14" i="46"/>
  <c r="S15" i="46" s="1"/>
  <c r="S16" i="46" s="1"/>
  <c r="O14" i="45"/>
  <c r="O15" i="45" s="1"/>
  <c r="O16" i="45" s="1"/>
  <c r="P13" i="45"/>
  <c r="O14" i="44"/>
  <c r="O15" i="44" s="1"/>
  <c r="O16" i="44" s="1"/>
  <c r="P13" i="44"/>
  <c r="M14" i="43"/>
  <c r="M15" i="43" s="1"/>
  <c r="M16" i="43" s="1"/>
  <c r="N13" i="43"/>
  <c r="M13" i="42"/>
  <c r="L14" i="42"/>
  <c r="L15" i="42" s="1"/>
  <c r="L16" i="42" s="1"/>
  <c r="L13" i="41"/>
  <c r="K14" i="41"/>
  <c r="K15" i="41" s="1"/>
  <c r="K16" i="41" s="1"/>
  <c r="K14" i="40"/>
  <c r="K15" i="40" s="1"/>
  <c r="K16" i="40" s="1"/>
  <c r="L13" i="40"/>
  <c r="H14" i="39"/>
  <c r="H15" i="39" s="1"/>
  <c r="H16" i="39" s="1"/>
  <c r="I13" i="39"/>
  <c r="J13" i="39" s="1"/>
  <c r="I13" i="38"/>
  <c r="J13" i="38" s="1"/>
  <c r="H14" i="38"/>
  <c r="H15" i="38" s="1"/>
  <c r="H16" i="38" s="1"/>
  <c r="G14" i="37"/>
  <c r="G15" i="37" s="1"/>
  <c r="G16" i="37" s="1"/>
  <c r="H13" i="37"/>
  <c r="I15" i="36"/>
  <c r="I16" i="36" s="1"/>
  <c r="G13" i="36"/>
  <c r="Q14" i="35"/>
  <c r="I14" i="35"/>
  <c r="AA13" i="35"/>
  <c r="E15" i="35" s="1"/>
  <c r="Q15" i="35" s="1"/>
  <c r="Q16" i="35" s="1"/>
  <c r="F13" i="35"/>
  <c r="Y14" i="52" l="1"/>
  <c r="Y15" i="52" s="1"/>
  <c r="Y16" i="52" s="1"/>
  <c r="Z13" i="52"/>
  <c r="Z13" i="51"/>
  <c r="Y14" i="51"/>
  <c r="Y15" i="51" s="1"/>
  <c r="Y16" i="51" s="1"/>
  <c r="W14" i="50"/>
  <c r="W15" i="50" s="1"/>
  <c r="W16" i="50" s="1"/>
  <c r="X13" i="50"/>
  <c r="W14" i="49"/>
  <c r="W15" i="49" s="1"/>
  <c r="W16" i="49" s="1"/>
  <c r="X13" i="49"/>
  <c r="W13" i="48"/>
  <c r="V14" i="48"/>
  <c r="V15" i="48" s="1"/>
  <c r="V16" i="48" s="1"/>
  <c r="T14" i="46"/>
  <c r="T15" i="46" s="1"/>
  <c r="T16" i="46" s="1"/>
  <c r="U13" i="46"/>
  <c r="Q13" i="45"/>
  <c r="R13" i="45" s="1"/>
  <c r="P14" i="45"/>
  <c r="P15" i="45" s="1"/>
  <c r="P16" i="45" s="1"/>
  <c r="Q13" i="44"/>
  <c r="R13" i="44" s="1"/>
  <c r="P14" i="44"/>
  <c r="P15" i="44" s="1"/>
  <c r="P16" i="44" s="1"/>
  <c r="N14" i="43"/>
  <c r="N15" i="43" s="1"/>
  <c r="N16" i="43" s="1"/>
  <c r="O13" i="43"/>
  <c r="M14" i="42"/>
  <c r="M15" i="42" s="1"/>
  <c r="M16" i="42" s="1"/>
  <c r="N13" i="42"/>
  <c r="L14" i="41"/>
  <c r="L15" i="41" s="1"/>
  <c r="L16" i="41" s="1"/>
  <c r="M13" i="41"/>
  <c r="L14" i="40"/>
  <c r="L15" i="40" s="1"/>
  <c r="L16" i="40" s="1"/>
  <c r="M13" i="40"/>
  <c r="J14" i="39"/>
  <c r="J15" i="39" s="1"/>
  <c r="J16" i="39" s="1"/>
  <c r="K13" i="39"/>
  <c r="J14" i="38"/>
  <c r="J15" i="38" s="1"/>
  <c r="J16" i="38" s="1"/>
  <c r="K13" i="38"/>
  <c r="I13" i="37"/>
  <c r="J13" i="37" s="1"/>
  <c r="H14" i="37"/>
  <c r="H15" i="37" s="1"/>
  <c r="H16" i="37" s="1"/>
  <c r="H13" i="36"/>
  <c r="G14" i="36"/>
  <c r="G15" i="36" s="1"/>
  <c r="G16" i="36" s="1"/>
  <c r="F14" i="35"/>
  <c r="F15" i="35" s="1"/>
  <c r="F16" i="35" s="1"/>
  <c r="G13" i="35"/>
  <c r="I15" i="35"/>
  <c r="I16" i="35" s="1"/>
  <c r="E13" i="35"/>
  <c r="Q14" i="34"/>
  <c r="I14" i="34"/>
  <c r="F14" i="34"/>
  <c r="AA13" i="34"/>
  <c r="E15" i="34" s="1"/>
  <c r="F15" i="34" s="1"/>
  <c r="F16" i="34" s="1"/>
  <c r="G13" i="34"/>
  <c r="G14" i="34" s="1"/>
  <c r="F13" i="34"/>
  <c r="G15" i="34" l="1"/>
  <c r="G16" i="34" s="1"/>
  <c r="Z14" i="52"/>
  <c r="Z15" i="52" s="1"/>
  <c r="Z16" i="52" s="1"/>
  <c r="AA14" i="52"/>
  <c r="AA15" i="52" s="1"/>
  <c r="AA16" i="52" s="1"/>
  <c r="Z14" i="51"/>
  <c r="Z15" i="51" s="1"/>
  <c r="Z16" i="51" s="1"/>
  <c r="E17" i="51" s="1"/>
  <c r="AA14" i="51"/>
  <c r="AA15" i="51" s="1"/>
  <c r="AA16" i="51" s="1"/>
  <c r="Y13" i="50"/>
  <c r="X14" i="50"/>
  <c r="X15" i="50" s="1"/>
  <c r="X16" i="50" s="1"/>
  <c r="X14" i="49"/>
  <c r="X15" i="49" s="1"/>
  <c r="X16" i="49" s="1"/>
  <c r="Y13" i="49"/>
  <c r="W14" i="48"/>
  <c r="W15" i="48" s="1"/>
  <c r="W16" i="48" s="1"/>
  <c r="X13" i="48"/>
  <c r="U14" i="46"/>
  <c r="U15" i="46" s="1"/>
  <c r="U16" i="46" s="1"/>
  <c r="V13" i="46"/>
  <c r="S13" i="45"/>
  <c r="R14" i="45"/>
  <c r="R15" i="45" s="1"/>
  <c r="R16" i="45" s="1"/>
  <c r="S13" i="44"/>
  <c r="R14" i="44"/>
  <c r="R15" i="44" s="1"/>
  <c r="R16" i="44" s="1"/>
  <c r="P13" i="43"/>
  <c r="O14" i="43"/>
  <c r="O15" i="43" s="1"/>
  <c r="O16" i="43" s="1"/>
  <c r="N14" i="42"/>
  <c r="N15" i="42" s="1"/>
  <c r="N16" i="42" s="1"/>
  <c r="O13" i="42"/>
  <c r="M14" i="41"/>
  <c r="M15" i="41" s="1"/>
  <c r="M16" i="41" s="1"/>
  <c r="N13" i="41"/>
  <c r="M14" i="40"/>
  <c r="M15" i="40" s="1"/>
  <c r="M16" i="40" s="1"/>
  <c r="N13" i="40"/>
  <c r="L13" i="39"/>
  <c r="K14" i="39"/>
  <c r="K15" i="39" s="1"/>
  <c r="K16" i="39" s="1"/>
  <c r="K14" i="38"/>
  <c r="K15" i="38" s="1"/>
  <c r="K16" i="38" s="1"/>
  <c r="L13" i="38"/>
  <c r="J14" i="37"/>
  <c r="J15" i="37" s="1"/>
  <c r="J16" i="37" s="1"/>
  <c r="K13" i="37"/>
  <c r="H14" i="36"/>
  <c r="H15" i="36" s="1"/>
  <c r="H16" i="36" s="1"/>
  <c r="I13" i="36"/>
  <c r="J13" i="36" s="1"/>
  <c r="G14" i="35"/>
  <c r="G15" i="35" s="1"/>
  <c r="G16" i="35" s="1"/>
  <c r="H13" i="35"/>
  <c r="Q15" i="34"/>
  <c r="Q16" i="34" s="1"/>
  <c r="I15" i="34"/>
  <c r="I16" i="34" s="1"/>
  <c r="H13" i="34"/>
  <c r="E13" i="34"/>
  <c r="Q14" i="33"/>
  <c r="I14" i="33"/>
  <c r="AA13" i="33"/>
  <c r="E15" i="33" s="1"/>
  <c r="F13" i="33"/>
  <c r="F14" i="33" s="1"/>
  <c r="G13" i="33" l="1"/>
  <c r="G14" i="33" s="1"/>
  <c r="G15" i="33" s="1"/>
  <c r="G16" i="33" s="1"/>
  <c r="F15" i="33"/>
  <c r="F16" i="33" s="1"/>
  <c r="I15" i="33"/>
  <c r="I16" i="33" s="1"/>
  <c r="E17" i="52"/>
  <c r="Y14" i="50"/>
  <c r="Y15" i="50" s="1"/>
  <c r="Y16" i="50" s="1"/>
  <c r="Z13" i="50"/>
  <c r="Y14" i="49"/>
  <c r="Y15" i="49" s="1"/>
  <c r="Y16" i="49" s="1"/>
  <c r="Z13" i="49"/>
  <c r="X14" i="48"/>
  <c r="X15" i="48" s="1"/>
  <c r="X16" i="48" s="1"/>
  <c r="Y13" i="48"/>
  <c r="V14" i="46"/>
  <c r="V15" i="46" s="1"/>
  <c r="V16" i="46" s="1"/>
  <c r="W13" i="46"/>
  <c r="S14" i="45"/>
  <c r="S15" i="45" s="1"/>
  <c r="S16" i="45" s="1"/>
  <c r="T13" i="45"/>
  <c r="S14" i="44"/>
  <c r="S15" i="44" s="1"/>
  <c r="S16" i="44" s="1"/>
  <c r="T13" i="44"/>
  <c r="P14" i="43"/>
  <c r="P15" i="43" s="1"/>
  <c r="P16" i="43" s="1"/>
  <c r="Q13" i="43"/>
  <c r="R13" i="43" s="1"/>
  <c r="O14" i="42"/>
  <c r="O15" i="42" s="1"/>
  <c r="O16" i="42" s="1"/>
  <c r="P13" i="42"/>
  <c r="N14" i="41"/>
  <c r="N15" i="41" s="1"/>
  <c r="N16" i="41" s="1"/>
  <c r="O13" i="41"/>
  <c r="O13" i="40"/>
  <c r="N14" i="40"/>
  <c r="N15" i="40" s="1"/>
  <c r="N16" i="40" s="1"/>
  <c r="L14" i="39"/>
  <c r="L15" i="39" s="1"/>
  <c r="L16" i="39" s="1"/>
  <c r="M13" i="39"/>
  <c r="L14" i="38"/>
  <c r="L15" i="38" s="1"/>
  <c r="L16" i="38" s="1"/>
  <c r="M13" i="38"/>
  <c r="K14" i="37"/>
  <c r="K15" i="37" s="1"/>
  <c r="K16" i="37" s="1"/>
  <c r="L13" i="37"/>
  <c r="J14" i="36"/>
  <c r="J15" i="36" s="1"/>
  <c r="J16" i="36" s="1"/>
  <c r="K13" i="36"/>
  <c r="I13" i="35"/>
  <c r="J13" i="35" s="1"/>
  <c r="H14" i="35"/>
  <c r="H15" i="35" s="1"/>
  <c r="H16" i="35" s="1"/>
  <c r="H14" i="34"/>
  <c r="H15" i="34" s="1"/>
  <c r="H16" i="34" s="1"/>
  <c r="I13" i="34"/>
  <c r="J13" i="34" s="1"/>
  <c r="Q15" i="33"/>
  <c r="Q16" i="33" s="1"/>
  <c r="H13" i="33"/>
  <c r="E13" i="33"/>
  <c r="Z14" i="50" l="1"/>
  <c r="Z15" i="50" s="1"/>
  <c r="Z16" i="50" s="1"/>
  <c r="E17" i="50" s="1"/>
  <c r="AA14" i="50"/>
  <c r="AA15" i="50" s="1"/>
  <c r="AA16" i="50" s="1"/>
  <c r="AA14" i="49"/>
  <c r="AA15" i="49" s="1"/>
  <c r="AA16" i="49" s="1"/>
  <c r="Z14" i="49"/>
  <c r="Z15" i="49" s="1"/>
  <c r="Z16" i="49" s="1"/>
  <c r="Y14" i="48"/>
  <c r="Y15" i="48" s="1"/>
  <c r="Y16" i="48" s="1"/>
  <c r="Z13" i="48"/>
  <c r="X13" i="46"/>
  <c r="W14" i="46"/>
  <c r="W15" i="46" s="1"/>
  <c r="W16" i="46" s="1"/>
  <c r="U13" i="45"/>
  <c r="T14" i="45"/>
  <c r="T15" i="45" s="1"/>
  <c r="T16" i="45" s="1"/>
  <c r="U13" i="44"/>
  <c r="T14" i="44"/>
  <c r="T15" i="44" s="1"/>
  <c r="T16" i="44" s="1"/>
  <c r="R14" i="43"/>
  <c r="R15" i="43" s="1"/>
  <c r="R16" i="43" s="1"/>
  <c r="S13" i="43"/>
  <c r="Q13" i="42"/>
  <c r="R13" i="42" s="1"/>
  <c r="P14" i="42"/>
  <c r="P15" i="42" s="1"/>
  <c r="P16" i="42" s="1"/>
  <c r="O14" i="41"/>
  <c r="O15" i="41" s="1"/>
  <c r="O16" i="41" s="1"/>
  <c r="P13" i="41"/>
  <c r="O14" i="40"/>
  <c r="O15" i="40" s="1"/>
  <c r="O16" i="40" s="1"/>
  <c r="P13" i="40"/>
  <c r="M14" i="39"/>
  <c r="M15" i="39" s="1"/>
  <c r="M16" i="39" s="1"/>
  <c r="N13" i="39"/>
  <c r="N13" i="38"/>
  <c r="M14" i="38"/>
  <c r="M15" i="38" s="1"/>
  <c r="M16" i="38" s="1"/>
  <c r="M13" i="37"/>
  <c r="L14" i="37"/>
  <c r="L15" i="37" s="1"/>
  <c r="L16" i="37" s="1"/>
  <c r="L13" i="36"/>
  <c r="K14" i="36"/>
  <c r="K15" i="36" s="1"/>
  <c r="K16" i="36" s="1"/>
  <c r="J14" i="35"/>
  <c r="J15" i="35" s="1"/>
  <c r="J16" i="35" s="1"/>
  <c r="K13" i="35"/>
  <c r="K13" i="34"/>
  <c r="J14" i="34"/>
  <c r="J15" i="34" s="1"/>
  <c r="J16" i="34" s="1"/>
  <c r="H14" i="33"/>
  <c r="H15" i="33" s="1"/>
  <c r="H16" i="33" s="1"/>
  <c r="I13" i="33"/>
  <c r="J13" i="33" s="1"/>
  <c r="E17" i="49" l="1"/>
  <c r="AA14" i="48"/>
  <c r="AA15" i="48" s="1"/>
  <c r="AA16" i="48" s="1"/>
  <c r="Z14" i="48"/>
  <c r="Z15" i="48" s="1"/>
  <c r="Z16" i="48" s="1"/>
  <c r="E17" i="48" s="1"/>
  <c r="X14" i="46"/>
  <c r="X15" i="46" s="1"/>
  <c r="X16" i="46" s="1"/>
  <c r="Y13" i="46"/>
  <c r="U14" i="45"/>
  <c r="U15" i="45" s="1"/>
  <c r="U16" i="45" s="1"/>
  <c r="V13" i="45"/>
  <c r="U14" i="44"/>
  <c r="U15" i="44" s="1"/>
  <c r="U16" i="44" s="1"/>
  <c r="V13" i="44"/>
  <c r="T13" i="43"/>
  <c r="S14" i="43"/>
  <c r="S15" i="43" s="1"/>
  <c r="S16" i="43" s="1"/>
  <c r="R14" i="42"/>
  <c r="R15" i="42" s="1"/>
  <c r="R16" i="42" s="1"/>
  <c r="S13" i="42"/>
  <c r="Q13" i="41"/>
  <c r="R13" i="41" s="1"/>
  <c r="P14" i="41"/>
  <c r="P15" i="41" s="1"/>
  <c r="P16" i="41" s="1"/>
  <c r="P14" i="40"/>
  <c r="P15" i="40" s="1"/>
  <c r="P16" i="40" s="1"/>
  <c r="Q13" i="40"/>
  <c r="R13" i="40" s="1"/>
  <c r="N14" i="39"/>
  <c r="N15" i="39" s="1"/>
  <c r="N16" i="39" s="1"/>
  <c r="O13" i="39"/>
  <c r="N14" i="38"/>
  <c r="N15" i="38" s="1"/>
  <c r="N16" i="38" s="1"/>
  <c r="O13" i="38"/>
  <c r="M14" i="37"/>
  <c r="M15" i="37" s="1"/>
  <c r="M16" i="37" s="1"/>
  <c r="N13" i="37"/>
  <c r="L14" i="36"/>
  <c r="L15" i="36" s="1"/>
  <c r="L16" i="36" s="1"/>
  <c r="M13" i="36"/>
  <c r="K14" i="35"/>
  <c r="K15" i="35" s="1"/>
  <c r="K16" i="35" s="1"/>
  <c r="L13" i="35"/>
  <c r="K14" i="34"/>
  <c r="K15" i="34" s="1"/>
  <c r="K16" i="34" s="1"/>
  <c r="L13" i="34"/>
  <c r="J14" i="33"/>
  <c r="J15" i="33" s="1"/>
  <c r="J16" i="33" s="1"/>
  <c r="K13" i="33"/>
  <c r="Y14" i="46" l="1"/>
  <c r="Y15" i="46" s="1"/>
  <c r="Y16" i="46" s="1"/>
  <c r="Z13" i="46"/>
  <c r="W13" i="45"/>
  <c r="V14" i="45"/>
  <c r="V15" i="45" s="1"/>
  <c r="V16" i="45" s="1"/>
  <c r="W13" i="44"/>
  <c r="V14" i="44"/>
  <c r="V15" i="44" s="1"/>
  <c r="V16" i="44" s="1"/>
  <c r="T14" i="43"/>
  <c r="T15" i="43" s="1"/>
  <c r="T16" i="43" s="1"/>
  <c r="U13" i="43"/>
  <c r="S14" i="42"/>
  <c r="S15" i="42" s="1"/>
  <c r="S16" i="42" s="1"/>
  <c r="T13" i="42"/>
  <c r="R14" i="41"/>
  <c r="R15" i="41" s="1"/>
  <c r="R16" i="41" s="1"/>
  <c r="S13" i="41"/>
  <c r="S13" i="40"/>
  <c r="R14" i="40"/>
  <c r="R15" i="40" s="1"/>
  <c r="R16" i="40" s="1"/>
  <c r="P13" i="39"/>
  <c r="O14" i="39"/>
  <c r="O15" i="39" s="1"/>
  <c r="O16" i="39" s="1"/>
  <c r="O14" i="38"/>
  <c r="O15" i="38" s="1"/>
  <c r="O16" i="38" s="1"/>
  <c r="P13" i="38"/>
  <c r="N14" i="37"/>
  <c r="N15" i="37" s="1"/>
  <c r="N16" i="37" s="1"/>
  <c r="O13" i="37"/>
  <c r="M14" i="36"/>
  <c r="M15" i="36" s="1"/>
  <c r="M16" i="36" s="1"/>
  <c r="N13" i="36"/>
  <c r="M13" i="35"/>
  <c r="L14" i="35"/>
  <c r="L15" i="35" s="1"/>
  <c r="L16" i="35" s="1"/>
  <c r="L14" i="34"/>
  <c r="L15" i="34" s="1"/>
  <c r="L16" i="34" s="1"/>
  <c r="M13" i="34"/>
  <c r="K14" i="33"/>
  <c r="K15" i="33" s="1"/>
  <c r="K16" i="33" s="1"/>
  <c r="L13" i="33"/>
  <c r="Q14" i="32"/>
  <c r="I14" i="32"/>
  <c r="F14" i="32"/>
  <c r="AA13" i="32"/>
  <c r="E15" i="32" s="1"/>
  <c r="F15" i="32" s="1"/>
  <c r="F16" i="32" s="1"/>
  <c r="G13" i="32"/>
  <c r="G14" i="32" s="1"/>
  <c r="F13" i="32"/>
  <c r="Z14" i="46" l="1"/>
  <c r="Z15" i="46" s="1"/>
  <c r="Z16" i="46" s="1"/>
  <c r="E17" i="46" s="1"/>
  <c r="AA14" i="46"/>
  <c r="AA15" i="46" s="1"/>
  <c r="AA16" i="46" s="1"/>
  <c r="W14" i="45"/>
  <c r="W15" i="45" s="1"/>
  <c r="W16" i="45" s="1"/>
  <c r="X13" i="45"/>
  <c r="W14" i="44"/>
  <c r="W15" i="44" s="1"/>
  <c r="W16" i="44" s="1"/>
  <c r="X13" i="44"/>
  <c r="U14" i="43"/>
  <c r="U15" i="43" s="1"/>
  <c r="U16" i="43" s="1"/>
  <c r="V13" i="43"/>
  <c r="U13" i="42"/>
  <c r="T14" i="42"/>
  <c r="T15" i="42" s="1"/>
  <c r="T16" i="42" s="1"/>
  <c r="T13" i="41"/>
  <c r="S14" i="41"/>
  <c r="S15" i="41" s="1"/>
  <c r="S16" i="41" s="1"/>
  <c r="S14" i="40"/>
  <c r="S15" i="40" s="1"/>
  <c r="S16" i="40" s="1"/>
  <c r="T13" i="40"/>
  <c r="P14" i="39"/>
  <c r="P15" i="39" s="1"/>
  <c r="P16" i="39" s="1"/>
  <c r="Q13" i="39"/>
  <c r="R13" i="39" s="1"/>
  <c r="Q13" i="38"/>
  <c r="R13" i="38" s="1"/>
  <c r="P14" i="38"/>
  <c r="P15" i="38" s="1"/>
  <c r="P16" i="38" s="1"/>
  <c r="O14" i="37"/>
  <c r="O15" i="37" s="1"/>
  <c r="O16" i="37" s="1"/>
  <c r="P13" i="37"/>
  <c r="N14" i="36"/>
  <c r="N15" i="36" s="1"/>
  <c r="N16" i="36" s="1"/>
  <c r="O13" i="36"/>
  <c r="M14" i="35"/>
  <c r="M15" i="35" s="1"/>
  <c r="M16" i="35" s="1"/>
  <c r="N13" i="35"/>
  <c r="M14" i="34"/>
  <c r="M15" i="34" s="1"/>
  <c r="M16" i="34" s="1"/>
  <c r="N13" i="34"/>
  <c r="L14" i="33"/>
  <c r="L15" i="33" s="1"/>
  <c r="L16" i="33" s="1"/>
  <c r="M13" i="33"/>
  <c r="I15" i="32"/>
  <c r="I16" i="32" s="1"/>
  <c r="G15" i="32"/>
  <c r="G16" i="32" s="1"/>
  <c r="Q15" i="32"/>
  <c r="Q16" i="32" s="1"/>
  <c r="H13" i="32"/>
  <c r="E13" i="32"/>
  <c r="Q14" i="31"/>
  <c r="I14" i="31"/>
  <c r="AA13" i="31"/>
  <c r="E15" i="31" s="1"/>
  <c r="G13" i="31"/>
  <c r="G14" i="31" s="1"/>
  <c r="F13" i="31"/>
  <c r="F14" i="31" s="1"/>
  <c r="E13" i="31"/>
  <c r="Q14" i="30"/>
  <c r="Q15" i="30" s="1"/>
  <c r="Q16" i="30" s="1"/>
  <c r="I14" i="30"/>
  <c r="I15" i="30" s="1"/>
  <c r="I16" i="30" s="1"/>
  <c r="AA13" i="30"/>
  <c r="E15" i="30" s="1"/>
  <c r="F13" i="30"/>
  <c r="F14" i="30" s="1"/>
  <c r="Q14" i="29"/>
  <c r="I14" i="29"/>
  <c r="AA13" i="29"/>
  <c r="E15" i="29" s="1"/>
  <c r="G13" i="29"/>
  <c r="G14" i="29" s="1"/>
  <c r="G15" i="29" s="1"/>
  <c r="G16" i="29" s="1"/>
  <c r="F13" i="29"/>
  <c r="F14" i="29" s="1"/>
  <c r="Q14" i="28"/>
  <c r="I14" i="28"/>
  <c r="AA13" i="28"/>
  <c r="E15" i="28" s="1"/>
  <c r="G13" i="28"/>
  <c r="F13" i="28"/>
  <c r="F14" i="28" s="1"/>
  <c r="F15" i="28" l="1"/>
  <c r="F16" i="28" s="1"/>
  <c r="Q15" i="28"/>
  <c r="Q16" i="28" s="1"/>
  <c r="G13" i="30"/>
  <c r="E13" i="29"/>
  <c r="F15" i="30"/>
  <c r="F16" i="30" s="1"/>
  <c r="F15" i="29"/>
  <c r="F16" i="29" s="1"/>
  <c r="Y13" i="45"/>
  <c r="X14" i="45"/>
  <c r="X15" i="45" s="1"/>
  <c r="X16" i="45" s="1"/>
  <c r="Y13" i="44"/>
  <c r="X14" i="44"/>
  <c r="X15" i="44" s="1"/>
  <c r="X16" i="44" s="1"/>
  <c r="V14" i="43"/>
  <c r="V15" i="43" s="1"/>
  <c r="V16" i="43" s="1"/>
  <c r="W13" i="43"/>
  <c r="U14" i="42"/>
  <c r="U15" i="42" s="1"/>
  <c r="U16" i="42" s="1"/>
  <c r="V13" i="42"/>
  <c r="T14" i="41"/>
  <c r="T15" i="41" s="1"/>
  <c r="T16" i="41" s="1"/>
  <c r="U13" i="41"/>
  <c r="T14" i="40"/>
  <c r="T15" i="40" s="1"/>
  <c r="T16" i="40" s="1"/>
  <c r="U13" i="40"/>
  <c r="R14" i="39"/>
  <c r="R15" i="39" s="1"/>
  <c r="R16" i="39" s="1"/>
  <c r="S13" i="39"/>
  <c r="R14" i="38"/>
  <c r="R15" i="38" s="1"/>
  <c r="R16" i="38" s="1"/>
  <c r="S13" i="38"/>
  <c r="Q13" i="37"/>
  <c r="R13" i="37" s="1"/>
  <c r="P14" i="37"/>
  <c r="P15" i="37" s="1"/>
  <c r="P16" i="37" s="1"/>
  <c r="P13" i="36"/>
  <c r="O14" i="36"/>
  <c r="O15" i="36" s="1"/>
  <c r="O16" i="36" s="1"/>
  <c r="N14" i="35"/>
  <c r="N15" i="35" s="1"/>
  <c r="N16" i="35" s="1"/>
  <c r="O13" i="35"/>
  <c r="O13" i="34"/>
  <c r="N14" i="34"/>
  <c r="N15" i="34" s="1"/>
  <c r="N16" i="34" s="1"/>
  <c r="N13" i="33"/>
  <c r="M14" i="33"/>
  <c r="M15" i="33" s="1"/>
  <c r="M16" i="33" s="1"/>
  <c r="H14" i="32"/>
  <c r="H15" i="32" s="1"/>
  <c r="H16" i="32" s="1"/>
  <c r="I13" i="32"/>
  <c r="J13" i="32" s="1"/>
  <c r="G15" i="31"/>
  <c r="G16" i="31" s="1"/>
  <c r="I15" i="31"/>
  <c r="I16" i="31" s="1"/>
  <c r="F15" i="31"/>
  <c r="F16" i="31" s="1"/>
  <c r="Q15" i="31"/>
  <c r="Q16" i="31" s="1"/>
  <c r="H13" i="31"/>
  <c r="G14" i="30"/>
  <c r="G15" i="30" s="1"/>
  <c r="G16" i="30" s="1"/>
  <c r="H13" i="30"/>
  <c r="E13" i="30"/>
  <c r="I15" i="29"/>
  <c r="I16" i="29" s="1"/>
  <c r="Q15" i="29"/>
  <c r="Q16" i="29" s="1"/>
  <c r="H13" i="29"/>
  <c r="G14" i="28"/>
  <c r="G15" i="28" s="1"/>
  <c r="G16" i="28" s="1"/>
  <c r="H13" i="28"/>
  <c r="I15" i="28"/>
  <c r="I16" i="28" s="1"/>
  <c r="E13" i="28"/>
  <c r="Q14" i="27"/>
  <c r="I14" i="27"/>
  <c r="AA13" i="27"/>
  <c r="E15" i="27" s="1"/>
  <c r="Q15" i="27" s="1"/>
  <c r="Q16" i="27" s="1"/>
  <c r="F13" i="27"/>
  <c r="G13" i="27" s="1"/>
  <c r="Y14" i="45" l="1"/>
  <c r="Y15" i="45" s="1"/>
  <c r="Y16" i="45" s="1"/>
  <c r="Z13" i="45"/>
  <c r="Y14" i="44"/>
  <c r="Y15" i="44" s="1"/>
  <c r="Y16" i="44" s="1"/>
  <c r="Z13" i="44"/>
  <c r="X13" i="43"/>
  <c r="W14" i="43"/>
  <c r="W15" i="43" s="1"/>
  <c r="W16" i="43" s="1"/>
  <c r="V14" i="42"/>
  <c r="V15" i="42" s="1"/>
  <c r="V16" i="42" s="1"/>
  <c r="W13" i="42"/>
  <c r="V13" i="41"/>
  <c r="U14" i="41"/>
  <c r="U15" i="41" s="1"/>
  <c r="U16" i="41" s="1"/>
  <c r="U14" i="40"/>
  <c r="U15" i="40" s="1"/>
  <c r="U16" i="40" s="1"/>
  <c r="V13" i="40"/>
  <c r="T13" i="39"/>
  <c r="S14" i="39"/>
  <c r="S15" i="39" s="1"/>
  <c r="S16" i="39" s="1"/>
  <c r="S14" i="38"/>
  <c r="S15" i="38" s="1"/>
  <c r="S16" i="38" s="1"/>
  <c r="T13" i="38"/>
  <c r="R14" i="37"/>
  <c r="R15" i="37" s="1"/>
  <c r="R16" i="37" s="1"/>
  <c r="S13" i="37"/>
  <c r="P14" i="36"/>
  <c r="P15" i="36" s="1"/>
  <c r="P16" i="36" s="1"/>
  <c r="Q13" i="36"/>
  <c r="R13" i="36" s="1"/>
  <c r="O14" i="35"/>
  <c r="O15" i="35" s="1"/>
  <c r="O16" i="35" s="1"/>
  <c r="P13" i="35"/>
  <c r="O14" i="34"/>
  <c r="O15" i="34" s="1"/>
  <c r="O16" i="34" s="1"/>
  <c r="P13" i="34"/>
  <c r="N14" i="33"/>
  <c r="N15" i="33" s="1"/>
  <c r="N16" i="33" s="1"/>
  <c r="O13" i="33"/>
  <c r="K13" i="32"/>
  <c r="J14" i="32"/>
  <c r="J15" i="32" s="1"/>
  <c r="J16" i="32" s="1"/>
  <c r="H14" i="31"/>
  <c r="H15" i="31" s="1"/>
  <c r="H16" i="31" s="1"/>
  <c r="I13" i="31"/>
  <c r="J13" i="31" s="1"/>
  <c r="H14" i="30"/>
  <c r="H15" i="30" s="1"/>
  <c r="H16" i="30" s="1"/>
  <c r="I13" i="30"/>
  <c r="J13" i="30" s="1"/>
  <c r="H14" i="29"/>
  <c r="H15" i="29" s="1"/>
  <c r="H16" i="29" s="1"/>
  <c r="I13" i="29"/>
  <c r="J13" i="29" s="1"/>
  <c r="H14" i="28"/>
  <c r="H15" i="28" s="1"/>
  <c r="H16" i="28" s="1"/>
  <c r="I13" i="28"/>
  <c r="J13" i="28" s="1"/>
  <c r="G14" i="27"/>
  <c r="G15" i="27" s="1"/>
  <c r="G16" i="27" s="1"/>
  <c r="H13" i="27"/>
  <c r="I15" i="27"/>
  <c r="I16" i="27" s="1"/>
  <c r="F14" i="27"/>
  <c r="F15" i="27" s="1"/>
  <c r="F16" i="27" s="1"/>
  <c r="E13" i="27"/>
  <c r="Q14" i="26"/>
  <c r="I14" i="26"/>
  <c r="I15" i="26" s="1"/>
  <c r="I16" i="26" s="1"/>
  <c r="AA13" i="26"/>
  <c r="E15" i="26" s="1"/>
  <c r="F13" i="26"/>
  <c r="F14" i="26" s="1"/>
  <c r="F15" i="26" s="1"/>
  <c r="F16" i="26" s="1"/>
  <c r="G13" i="26" l="1"/>
  <c r="G14" i="26" s="1"/>
  <c r="G15" i="26" s="1"/>
  <c r="G16" i="26" s="1"/>
  <c r="Z14" i="45"/>
  <c r="Z15" i="45" s="1"/>
  <c r="Z16" i="45" s="1"/>
  <c r="E17" i="45" s="1"/>
  <c r="AA14" i="45"/>
  <c r="AA15" i="45" s="1"/>
  <c r="AA16" i="45" s="1"/>
  <c r="Z14" i="44"/>
  <c r="Z15" i="44" s="1"/>
  <c r="Z16" i="44" s="1"/>
  <c r="E17" i="44" s="1"/>
  <c r="AA14" i="44"/>
  <c r="AA15" i="44" s="1"/>
  <c r="AA16" i="44" s="1"/>
  <c r="X14" i="43"/>
  <c r="X15" i="43" s="1"/>
  <c r="X16" i="43" s="1"/>
  <c r="Y13" i="43"/>
  <c r="W14" i="42"/>
  <c r="W15" i="42" s="1"/>
  <c r="W16" i="42" s="1"/>
  <c r="X13" i="42"/>
  <c r="W13" i="41"/>
  <c r="V14" i="41"/>
  <c r="V15" i="41" s="1"/>
  <c r="V16" i="41" s="1"/>
  <c r="W13" i="40"/>
  <c r="V14" i="40"/>
  <c r="V15" i="40" s="1"/>
  <c r="V16" i="40" s="1"/>
  <c r="T14" i="39"/>
  <c r="T15" i="39" s="1"/>
  <c r="T16" i="39" s="1"/>
  <c r="U13" i="39"/>
  <c r="T14" i="38"/>
  <c r="T15" i="38" s="1"/>
  <c r="T16" i="38" s="1"/>
  <c r="U13" i="38"/>
  <c r="S14" i="37"/>
  <c r="S15" i="37" s="1"/>
  <c r="S16" i="37" s="1"/>
  <c r="T13" i="37"/>
  <c r="R14" i="36"/>
  <c r="R15" i="36" s="1"/>
  <c r="R16" i="36" s="1"/>
  <c r="S13" i="36"/>
  <c r="Q13" i="35"/>
  <c r="R13" i="35" s="1"/>
  <c r="P14" i="35"/>
  <c r="P15" i="35" s="1"/>
  <c r="P16" i="35" s="1"/>
  <c r="P14" i="34"/>
  <c r="P15" i="34" s="1"/>
  <c r="P16" i="34" s="1"/>
  <c r="Q13" i="34"/>
  <c r="R13" i="34" s="1"/>
  <c r="O14" i="33"/>
  <c r="O15" i="33" s="1"/>
  <c r="O16" i="33" s="1"/>
  <c r="P13" i="33"/>
  <c r="K14" i="32"/>
  <c r="K15" i="32" s="1"/>
  <c r="K16" i="32" s="1"/>
  <c r="L13" i="32"/>
  <c r="J14" i="31"/>
  <c r="J15" i="31" s="1"/>
  <c r="J16" i="31" s="1"/>
  <c r="K13" i="31"/>
  <c r="J14" i="30"/>
  <c r="J15" i="30" s="1"/>
  <c r="J16" i="30" s="1"/>
  <c r="K13" i="30"/>
  <c r="J14" i="29"/>
  <c r="J15" i="29" s="1"/>
  <c r="J16" i="29" s="1"/>
  <c r="K13" i="29"/>
  <c r="J14" i="28"/>
  <c r="J15" i="28" s="1"/>
  <c r="J16" i="28" s="1"/>
  <c r="K13" i="28"/>
  <c r="I13" i="27"/>
  <c r="J13" i="27" s="1"/>
  <c r="H14" i="27"/>
  <c r="H15" i="27" s="1"/>
  <c r="H16" i="27" s="1"/>
  <c r="Q15" i="26"/>
  <c r="Q16" i="26" s="1"/>
  <c r="H13" i="26"/>
  <c r="E13" i="26"/>
  <c r="Q14" i="25"/>
  <c r="I14" i="25"/>
  <c r="AA13" i="25"/>
  <c r="E13" i="25" s="1"/>
  <c r="F13" i="25"/>
  <c r="G13" i="25" s="1"/>
  <c r="F14" i="25" l="1"/>
  <c r="E15" i="25"/>
  <c r="Q15" i="25" s="1"/>
  <c r="Q16" i="25" s="1"/>
  <c r="Y14" i="43"/>
  <c r="Y15" i="43" s="1"/>
  <c r="Y16" i="43" s="1"/>
  <c r="Z13" i="43"/>
  <c r="Y13" i="42"/>
  <c r="X14" i="42"/>
  <c r="X15" i="42" s="1"/>
  <c r="X16" i="42" s="1"/>
  <c r="X13" i="41"/>
  <c r="W14" i="41"/>
  <c r="W15" i="41" s="1"/>
  <c r="W16" i="41" s="1"/>
  <c r="W14" i="40"/>
  <c r="W15" i="40" s="1"/>
  <c r="W16" i="40" s="1"/>
  <c r="X13" i="40"/>
  <c r="U14" i="39"/>
  <c r="U15" i="39" s="1"/>
  <c r="U16" i="39" s="1"/>
  <c r="V13" i="39"/>
  <c r="U14" i="38"/>
  <c r="U15" i="38" s="1"/>
  <c r="U16" i="38" s="1"/>
  <c r="V13" i="38"/>
  <c r="U13" i="37"/>
  <c r="T14" i="37"/>
  <c r="T15" i="37" s="1"/>
  <c r="T16" i="37" s="1"/>
  <c r="T13" i="36"/>
  <c r="S14" i="36"/>
  <c r="S15" i="36" s="1"/>
  <c r="S16" i="36" s="1"/>
  <c r="R14" i="35"/>
  <c r="R15" i="35" s="1"/>
  <c r="R16" i="35" s="1"/>
  <c r="S13" i="35"/>
  <c r="S13" i="34"/>
  <c r="R14" i="34"/>
  <c r="R15" i="34" s="1"/>
  <c r="R16" i="34" s="1"/>
  <c r="P14" i="33"/>
  <c r="P15" i="33" s="1"/>
  <c r="P16" i="33" s="1"/>
  <c r="Q13" i="33"/>
  <c r="R13" i="33" s="1"/>
  <c r="L14" i="32"/>
  <c r="L15" i="32" s="1"/>
  <c r="L16" i="32" s="1"/>
  <c r="M13" i="32"/>
  <c r="K14" i="31"/>
  <c r="K15" i="31" s="1"/>
  <c r="K16" i="31" s="1"/>
  <c r="L13" i="31"/>
  <c r="K14" i="30"/>
  <c r="K15" i="30" s="1"/>
  <c r="K16" i="30" s="1"/>
  <c r="L13" i="30"/>
  <c r="K14" i="29"/>
  <c r="K15" i="29" s="1"/>
  <c r="K16" i="29" s="1"/>
  <c r="L13" i="29"/>
  <c r="K14" i="28"/>
  <c r="K15" i="28" s="1"/>
  <c r="K16" i="28" s="1"/>
  <c r="L13" i="28"/>
  <c r="J14" i="27"/>
  <c r="J15" i="27" s="1"/>
  <c r="J16" i="27" s="1"/>
  <c r="K13" i="27"/>
  <c r="H14" i="26"/>
  <c r="H15" i="26" s="1"/>
  <c r="H16" i="26" s="1"/>
  <c r="I13" i="26"/>
  <c r="J13" i="26" s="1"/>
  <c r="G14" i="25"/>
  <c r="G15" i="25" s="1"/>
  <c r="G16" i="25" s="1"/>
  <c r="H13" i="25"/>
  <c r="I15" i="25"/>
  <c r="I16" i="25" s="1"/>
  <c r="Q14" i="24"/>
  <c r="I14" i="24"/>
  <c r="AA13" i="24"/>
  <c r="E15" i="24" s="1"/>
  <c r="Q15" i="24" s="1"/>
  <c r="Q16" i="24" s="1"/>
  <c r="F13" i="24"/>
  <c r="G13" i="24" s="1"/>
  <c r="E13" i="24"/>
  <c r="F14" i="24" l="1"/>
  <c r="F15" i="24" s="1"/>
  <c r="F16" i="24" s="1"/>
  <c r="F15" i="25"/>
  <c r="F16" i="25" s="1"/>
  <c r="Z14" i="43"/>
  <c r="Z15" i="43" s="1"/>
  <c r="Z16" i="43" s="1"/>
  <c r="E17" i="43" s="1"/>
  <c r="AA14" i="43"/>
  <c r="AA15" i="43" s="1"/>
  <c r="AA16" i="43" s="1"/>
  <c r="Y14" i="42"/>
  <c r="Y15" i="42" s="1"/>
  <c r="Y16" i="42" s="1"/>
  <c r="Z13" i="42"/>
  <c r="Y13" i="41"/>
  <c r="X14" i="41"/>
  <c r="X15" i="41" s="1"/>
  <c r="X16" i="41" s="1"/>
  <c r="X14" i="40"/>
  <c r="X15" i="40" s="1"/>
  <c r="X16" i="40" s="1"/>
  <c r="Y13" i="40"/>
  <c r="V14" i="39"/>
  <c r="V15" i="39" s="1"/>
  <c r="V16" i="39" s="1"/>
  <c r="W13" i="39"/>
  <c r="V14" i="38"/>
  <c r="V15" i="38" s="1"/>
  <c r="V16" i="38" s="1"/>
  <c r="W13" i="38"/>
  <c r="U14" i="37"/>
  <c r="U15" i="37" s="1"/>
  <c r="U16" i="37" s="1"/>
  <c r="V13" i="37"/>
  <c r="T14" i="36"/>
  <c r="T15" i="36" s="1"/>
  <c r="T16" i="36" s="1"/>
  <c r="U13" i="36"/>
  <c r="S14" i="35"/>
  <c r="S15" i="35" s="1"/>
  <c r="S16" i="35" s="1"/>
  <c r="T13" i="35"/>
  <c r="S14" i="34"/>
  <c r="S15" i="34" s="1"/>
  <c r="S16" i="34" s="1"/>
  <c r="T13" i="34"/>
  <c r="R14" i="33"/>
  <c r="R15" i="33" s="1"/>
  <c r="R16" i="33" s="1"/>
  <c r="S13" i="33"/>
  <c r="N13" i="32"/>
  <c r="M14" i="32"/>
  <c r="M15" i="32" s="1"/>
  <c r="M16" i="32" s="1"/>
  <c r="L14" i="31"/>
  <c r="L15" i="31" s="1"/>
  <c r="L16" i="31" s="1"/>
  <c r="M13" i="31"/>
  <c r="L14" i="30"/>
  <c r="L15" i="30" s="1"/>
  <c r="L16" i="30" s="1"/>
  <c r="M13" i="30"/>
  <c r="L14" i="29"/>
  <c r="L15" i="29" s="1"/>
  <c r="L16" i="29" s="1"/>
  <c r="M13" i="29"/>
  <c r="L14" i="28"/>
  <c r="L15" i="28" s="1"/>
  <c r="L16" i="28" s="1"/>
  <c r="M13" i="28"/>
  <c r="K14" i="27"/>
  <c r="K15" i="27" s="1"/>
  <c r="K16" i="27" s="1"/>
  <c r="L13" i="27"/>
  <c r="K13" i="26"/>
  <c r="J14" i="26"/>
  <c r="J15" i="26" s="1"/>
  <c r="J16" i="26" s="1"/>
  <c r="H14" i="25"/>
  <c r="H15" i="25" s="1"/>
  <c r="H16" i="25" s="1"/>
  <c r="I13" i="25"/>
  <c r="J13" i="25" s="1"/>
  <c r="G14" i="24"/>
  <c r="G15" i="24" s="1"/>
  <c r="G16" i="24" s="1"/>
  <c r="H13" i="24"/>
  <c r="I15" i="24"/>
  <c r="I16" i="24" s="1"/>
  <c r="Q14" i="23"/>
  <c r="I14" i="23"/>
  <c r="AA13" i="23"/>
  <c r="E13" i="23" s="1"/>
  <c r="F13" i="23"/>
  <c r="F14" i="23" s="1"/>
  <c r="Q14" i="22"/>
  <c r="I14" i="22"/>
  <c r="AA13" i="22"/>
  <c r="E15" i="22" s="1"/>
  <c r="Q15" i="22" s="1"/>
  <c r="Q16" i="22" s="1"/>
  <c r="F13" i="22"/>
  <c r="G13" i="22" s="1"/>
  <c r="E15" i="23" l="1"/>
  <c r="Q15" i="23" s="1"/>
  <c r="Q16" i="23" s="1"/>
  <c r="Z14" i="42"/>
  <c r="Z15" i="42" s="1"/>
  <c r="Z16" i="42" s="1"/>
  <c r="E17" i="42" s="1"/>
  <c r="AA14" i="42"/>
  <c r="AA15" i="42" s="1"/>
  <c r="AA16" i="42" s="1"/>
  <c r="Y14" i="41"/>
  <c r="Y15" i="41" s="1"/>
  <c r="Y16" i="41" s="1"/>
  <c r="Z13" i="41"/>
  <c r="Y14" i="40"/>
  <c r="Y15" i="40" s="1"/>
  <c r="Y16" i="40" s="1"/>
  <c r="Z13" i="40"/>
  <c r="X13" i="39"/>
  <c r="W14" i="39"/>
  <c r="W15" i="39" s="1"/>
  <c r="W16" i="39" s="1"/>
  <c r="W14" i="38"/>
  <c r="W15" i="38" s="1"/>
  <c r="W16" i="38" s="1"/>
  <c r="X13" i="38"/>
  <c r="V14" i="37"/>
  <c r="V15" i="37" s="1"/>
  <c r="V16" i="37" s="1"/>
  <c r="W13" i="37"/>
  <c r="U14" i="36"/>
  <c r="U15" i="36" s="1"/>
  <c r="U16" i="36" s="1"/>
  <c r="V13" i="36"/>
  <c r="U13" i="35"/>
  <c r="T14" i="35"/>
  <c r="T15" i="35" s="1"/>
  <c r="T16" i="35" s="1"/>
  <c r="T14" i="34"/>
  <c r="T15" i="34" s="1"/>
  <c r="T16" i="34" s="1"/>
  <c r="U13" i="34"/>
  <c r="S14" i="33"/>
  <c r="S15" i="33" s="1"/>
  <c r="S16" i="33" s="1"/>
  <c r="T13" i="33"/>
  <c r="N14" i="32"/>
  <c r="N15" i="32" s="1"/>
  <c r="N16" i="32" s="1"/>
  <c r="O13" i="32"/>
  <c r="N13" i="31"/>
  <c r="M14" i="31"/>
  <c r="M15" i="31" s="1"/>
  <c r="M16" i="31" s="1"/>
  <c r="N13" i="30"/>
  <c r="M14" i="30"/>
  <c r="M15" i="30" s="1"/>
  <c r="M16" i="30" s="1"/>
  <c r="N13" i="29"/>
  <c r="M14" i="29"/>
  <c r="M15" i="29" s="1"/>
  <c r="M16" i="29" s="1"/>
  <c r="N13" i="28"/>
  <c r="M14" i="28"/>
  <c r="M15" i="28" s="1"/>
  <c r="M16" i="28" s="1"/>
  <c r="M13" i="27"/>
  <c r="L14" i="27"/>
  <c r="L15" i="27" s="1"/>
  <c r="L16" i="27" s="1"/>
  <c r="K14" i="26"/>
  <c r="K15" i="26" s="1"/>
  <c r="K16" i="26" s="1"/>
  <c r="L13" i="26"/>
  <c r="K13" i="25"/>
  <c r="J14" i="25"/>
  <c r="J15" i="25" s="1"/>
  <c r="J16" i="25" s="1"/>
  <c r="H14" i="24"/>
  <c r="H15" i="24" s="1"/>
  <c r="H16" i="24" s="1"/>
  <c r="I13" i="24"/>
  <c r="J13" i="24" s="1"/>
  <c r="I15" i="23"/>
  <c r="I16" i="23" s="1"/>
  <c r="G13" i="23"/>
  <c r="G14" i="22"/>
  <c r="G15" i="22" s="1"/>
  <c r="G16" i="22" s="1"/>
  <c r="H13" i="22"/>
  <c r="F14" i="22"/>
  <c r="F15" i="22" s="1"/>
  <c r="F16" i="22" s="1"/>
  <c r="I15" i="22"/>
  <c r="I16" i="22" s="1"/>
  <c r="E13" i="22"/>
  <c r="E15" i="21"/>
  <c r="Q15" i="21" s="1"/>
  <c r="Q16" i="21" s="1"/>
  <c r="Q14" i="21"/>
  <c r="I14" i="21"/>
  <c r="AA13" i="21"/>
  <c r="F13" i="21"/>
  <c r="F14" i="21" s="1"/>
  <c r="E13" i="21"/>
  <c r="F15" i="21" l="1"/>
  <c r="F16" i="21" s="1"/>
  <c r="F15" i="23"/>
  <c r="F16" i="23" s="1"/>
  <c r="AA14" i="41"/>
  <c r="AA15" i="41" s="1"/>
  <c r="AA16" i="41" s="1"/>
  <c r="Z14" i="41"/>
  <c r="Z15" i="41" s="1"/>
  <c r="Z16" i="41" s="1"/>
  <c r="E17" i="41" s="1"/>
  <c r="AA14" i="40"/>
  <c r="AA15" i="40" s="1"/>
  <c r="AA16" i="40" s="1"/>
  <c r="Z14" i="40"/>
  <c r="Z15" i="40" s="1"/>
  <c r="Z16" i="40" s="1"/>
  <c r="E17" i="40" s="1"/>
  <c r="X14" i="39"/>
  <c r="X15" i="39" s="1"/>
  <c r="X16" i="39" s="1"/>
  <c r="Y13" i="39"/>
  <c r="Y13" i="38"/>
  <c r="X14" i="38"/>
  <c r="X15" i="38" s="1"/>
  <c r="X16" i="38" s="1"/>
  <c r="W14" i="37"/>
  <c r="W15" i="37" s="1"/>
  <c r="W16" i="37" s="1"/>
  <c r="X13" i="37"/>
  <c r="V14" i="36"/>
  <c r="V15" i="36" s="1"/>
  <c r="V16" i="36" s="1"/>
  <c r="W13" i="36"/>
  <c r="U14" i="35"/>
  <c r="U15" i="35" s="1"/>
  <c r="U16" i="35" s="1"/>
  <c r="V13" i="35"/>
  <c r="U14" i="34"/>
  <c r="U15" i="34" s="1"/>
  <c r="U16" i="34" s="1"/>
  <c r="V13" i="34"/>
  <c r="T14" i="33"/>
  <c r="T15" i="33" s="1"/>
  <c r="T16" i="33" s="1"/>
  <c r="U13" i="33"/>
  <c r="O14" i="32"/>
  <c r="O15" i="32" s="1"/>
  <c r="O16" i="32" s="1"/>
  <c r="P13" i="32"/>
  <c r="O13" i="31"/>
  <c r="N14" i="31"/>
  <c r="N15" i="31" s="1"/>
  <c r="N16" i="31" s="1"/>
  <c r="N14" i="30"/>
  <c r="N15" i="30" s="1"/>
  <c r="N16" i="30" s="1"/>
  <c r="O13" i="30"/>
  <c r="N14" i="29"/>
  <c r="N15" i="29" s="1"/>
  <c r="N16" i="29" s="1"/>
  <c r="O13" i="29"/>
  <c r="N14" i="28"/>
  <c r="N15" i="28" s="1"/>
  <c r="N16" i="28" s="1"/>
  <c r="O13" i="28"/>
  <c r="M14" i="27"/>
  <c r="M15" i="27" s="1"/>
  <c r="M16" i="27" s="1"/>
  <c r="N13" i="27"/>
  <c r="L14" i="26"/>
  <c r="L15" i="26" s="1"/>
  <c r="L16" i="26" s="1"/>
  <c r="M13" i="26"/>
  <c r="K14" i="25"/>
  <c r="K15" i="25" s="1"/>
  <c r="K16" i="25" s="1"/>
  <c r="L13" i="25"/>
  <c r="K13" i="24"/>
  <c r="J14" i="24"/>
  <c r="J15" i="24" s="1"/>
  <c r="J16" i="24" s="1"/>
  <c r="H13" i="23"/>
  <c r="G14" i="23"/>
  <c r="G15" i="23" s="1"/>
  <c r="G16" i="23" s="1"/>
  <c r="I13" i="22"/>
  <c r="J13" i="22" s="1"/>
  <c r="H14" i="22"/>
  <c r="H15" i="22" s="1"/>
  <c r="H16" i="22" s="1"/>
  <c r="I15" i="21"/>
  <c r="I16" i="21" s="1"/>
  <c r="G13" i="21"/>
  <c r="Q14" i="20"/>
  <c r="I14" i="20"/>
  <c r="AA13" i="20"/>
  <c r="E15" i="20" s="1"/>
  <c r="Q15" i="20" s="1"/>
  <c r="Q16" i="20" s="1"/>
  <c r="F13" i="20"/>
  <c r="Q14" i="19"/>
  <c r="I14" i="19"/>
  <c r="AA13" i="19"/>
  <c r="E15" i="19" s="1"/>
  <c r="Q15" i="19" s="1"/>
  <c r="Q16" i="19" s="1"/>
  <c r="F13" i="19"/>
  <c r="G13" i="19" s="1"/>
  <c r="E13" i="19"/>
  <c r="Y14" i="39" l="1"/>
  <c r="Y15" i="39" s="1"/>
  <c r="Y16" i="39" s="1"/>
  <c r="Z13" i="39"/>
  <c r="Z13" i="38"/>
  <c r="Y14" i="38"/>
  <c r="Y15" i="38" s="1"/>
  <c r="Y16" i="38" s="1"/>
  <c r="Y13" i="37"/>
  <c r="X14" i="37"/>
  <c r="X15" i="37" s="1"/>
  <c r="X16" i="37" s="1"/>
  <c r="X13" i="36"/>
  <c r="W14" i="36"/>
  <c r="W15" i="36" s="1"/>
  <c r="W16" i="36" s="1"/>
  <c r="V14" i="35"/>
  <c r="V15" i="35" s="1"/>
  <c r="V16" i="35" s="1"/>
  <c r="W13" i="35"/>
  <c r="W13" i="34"/>
  <c r="V14" i="34"/>
  <c r="V15" i="34" s="1"/>
  <c r="V16" i="34" s="1"/>
  <c r="V13" i="33"/>
  <c r="U14" i="33"/>
  <c r="U15" i="33" s="1"/>
  <c r="U16" i="33" s="1"/>
  <c r="P14" i="32"/>
  <c r="P15" i="32" s="1"/>
  <c r="P16" i="32" s="1"/>
  <c r="Q13" i="32"/>
  <c r="R13" i="32" s="1"/>
  <c r="O14" i="31"/>
  <c r="O15" i="31" s="1"/>
  <c r="O16" i="31" s="1"/>
  <c r="P13" i="31"/>
  <c r="O14" i="30"/>
  <c r="O15" i="30" s="1"/>
  <c r="O16" i="30" s="1"/>
  <c r="P13" i="30"/>
  <c r="O14" i="29"/>
  <c r="O15" i="29" s="1"/>
  <c r="O16" i="29" s="1"/>
  <c r="P13" i="29"/>
  <c r="O14" i="28"/>
  <c r="O15" i="28" s="1"/>
  <c r="O16" i="28" s="1"/>
  <c r="P13" i="28"/>
  <c r="N14" i="27"/>
  <c r="N15" i="27" s="1"/>
  <c r="N16" i="27" s="1"/>
  <c r="O13" i="27"/>
  <c r="N13" i="26"/>
  <c r="M14" i="26"/>
  <c r="M15" i="26" s="1"/>
  <c r="M16" i="26" s="1"/>
  <c r="L14" i="25"/>
  <c r="L15" i="25" s="1"/>
  <c r="L16" i="25" s="1"/>
  <c r="M13" i="25"/>
  <c r="K14" i="24"/>
  <c r="K15" i="24" s="1"/>
  <c r="K16" i="24" s="1"/>
  <c r="L13" i="24"/>
  <c r="H14" i="23"/>
  <c r="H15" i="23" s="1"/>
  <c r="H16" i="23" s="1"/>
  <c r="I13" i="23"/>
  <c r="J13" i="23" s="1"/>
  <c r="K13" i="22"/>
  <c r="J14" i="22"/>
  <c r="J15" i="22" s="1"/>
  <c r="J16" i="22" s="1"/>
  <c r="H13" i="21"/>
  <c r="G14" i="21"/>
  <c r="G15" i="21" s="1"/>
  <c r="G16" i="21" s="1"/>
  <c r="F14" i="20"/>
  <c r="F15" i="20" s="1"/>
  <c r="F16" i="20" s="1"/>
  <c r="G13" i="20"/>
  <c r="I15" i="20"/>
  <c r="I16" i="20" s="1"/>
  <c r="E13" i="20"/>
  <c r="G14" i="19"/>
  <c r="G15" i="19" s="1"/>
  <c r="G16" i="19" s="1"/>
  <c r="H13" i="19"/>
  <c r="I15" i="19"/>
  <c r="I16" i="19" s="1"/>
  <c r="F14" i="19"/>
  <c r="F15" i="19" s="1"/>
  <c r="F16" i="19" s="1"/>
  <c r="Q14" i="18"/>
  <c r="I14" i="18"/>
  <c r="F14" i="18"/>
  <c r="AA13" i="18"/>
  <c r="E15" i="18" s="1"/>
  <c r="F13" i="18"/>
  <c r="G13" i="18" s="1"/>
  <c r="G14" i="18" s="1"/>
  <c r="G15" i="18" s="1"/>
  <c r="G16" i="18" s="1"/>
  <c r="Z14" i="39" l="1"/>
  <c r="Z15" i="39" s="1"/>
  <c r="Z16" i="39" s="1"/>
  <c r="E17" i="39" s="1"/>
  <c r="AA14" i="39"/>
  <c r="AA15" i="39" s="1"/>
  <c r="AA16" i="39" s="1"/>
  <c r="Z14" i="38"/>
  <c r="Z15" i="38" s="1"/>
  <c r="Z16" i="38" s="1"/>
  <c r="E17" i="38" s="1"/>
  <c r="AA14" i="38"/>
  <c r="AA15" i="38" s="1"/>
  <c r="AA16" i="38" s="1"/>
  <c r="Y14" i="37"/>
  <c r="Y15" i="37" s="1"/>
  <c r="Y16" i="37" s="1"/>
  <c r="Z13" i="37"/>
  <c r="X14" i="36"/>
  <c r="X15" i="36" s="1"/>
  <c r="X16" i="36" s="1"/>
  <c r="Y13" i="36"/>
  <c r="W14" i="35"/>
  <c r="W15" i="35" s="1"/>
  <c r="W16" i="35" s="1"/>
  <c r="X13" i="35"/>
  <c r="W14" i="34"/>
  <c r="W15" i="34" s="1"/>
  <c r="W16" i="34" s="1"/>
  <c r="X13" i="34"/>
  <c r="V14" i="33"/>
  <c r="V15" i="33" s="1"/>
  <c r="V16" i="33" s="1"/>
  <c r="W13" i="33"/>
  <c r="S13" i="32"/>
  <c r="R14" i="32"/>
  <c r="R15" i="32" s="1"/>
  <c r="R16" i="32" s="1"/>
  <c r="P14" i="31"/>
  <c r="P15" i="31" s="1"/>
  <c r="P16" i="31" s="1"/>
  <c r="Q13" i="31"/>
  <c r="R13" i="31" s="1"/>
  <c r="P14" i="30"/>
  <c r="P15" i="30" s="1"/>
  <c r="P16" i="30" s="1"/>
  <c r="Q13" i="30"/>
  <c r="R13" i="30" s="1"/>
  <c r="P14" i="29"/>
  <c r="P15" i="29" s="1"/>
  <c r="P16" i="29" s="1"/>
  <c r="Q13" i="29"/>
  <c r="R13" i="29" s="1"/>
  <c r="P14" i="28"/>
  <c r="P15" i="28" s="1"/>
  <c r="P16" i="28" s="1"/>
  <c r="Q13" i="28"/>
  <c r="R13" i="28" s="1"/>
  <c r="O14" i="27"/>
  <c r="O15" i="27" s="1"/>
  <c r="O16" i="27" s="1"/>
  <c r="P13" i="27"/>
  <c r="N14" i="26"/>
  <c r="N15" i="26" s="1"/>
  <c r="N16" i="26" s="1"/>
  <c r="O13" i="26"/>
  <c r="M14" i="25"/>
  <c r="M15" i="25" s="1"/>
  <c r="M16" i="25" s="1"/>
  <c r="N13" i="25"/>
  <c r="L14" i="24"/>
  <c r="L15" i="24" s="1"/>
  <c r="L16" i="24" s="1"/>
  <c r="M13" i="24"/>
  <c r="J14" i="23"/>
  <c r="J15" i="23" s="1"/>
  <c r="J16" i="23" s="1"/>
  <c r="K13" i="23"/>
  <c r="K14" i="22"/>
  <c r="K15" i="22" s="1"/>
  <c r="K16" i="22" s="1"/>
  <c r="L13" i="22"/>
  <c r="H14" i="21"/>
  <c r="H15" i="21" s="1"/>
  <c r="H16" i="21" s="1"/>
  <c r="I13" i="21"/>
  <c r="J13" i="21" s="1"/>
  <c r="G14" i="20"/>
  <c r="G15" i="20" s="1"/>
  <c r="G16" i="20" s="1"/>
  <c r="H13" i="20"/>
  <c r="H14" i="19"/>
  <c r="H15" i="19" s="1"/>
  <c r="H16" i="19" s="1"/>
  <c r="I13" i="19"/>
  <c r="J13" i="19" s="1"/>
  <c r="F15" i="18"/>
  <c r="F16" i="18" s="1"/>
  <c r="I15" i="18"/>
  <c r="I16" i="18" s="1"/>
  <c r="Q15" i="18"/>
  <c r="Q16" i="18" s="1"/>
  <c r="H13" i="18"/>
  <c r="E13" i="18"/>
  <c r="Q14" i="17"/>
  <c r="I14" i="17"/>
  <c r="AA13" i="17"/>
  <c r="E15" i="17" s="1"/>
  <c r="G13" i="17"/>
  <c r="G14" i="17" s="1"/>
  <c r="G15" i="17" s="1"/>
  <c r="G16" i="17" s="1"/>
  <c r="F13" i="17"/>
  <c r="F14" i="17" s="1"/>
  <c r="E15" i="16"/>
  <c r="Q15" i="16" s="1"/>
  <c r="Q16" i="16" s="1"/>
  <c r="Q14" i="16"/>
  <c r="I14" i="16"/>
  <c r="AA13" i="16"/>
  <c r="E13" i="16" s="1"/>
  <c r="F13" i="16"/>
  <c r="F14" i="16" s="1"/>
  <c r="F15" i="16" l="1"/>
  <c r="F16" i="16" s="1"/>
  <c r="Z14" i="37"/>
  <c r="Z15" i="37" s="1"/>
  <c r="Z16" i="37" s="1"/>
  <c r="E17" i="37" s="1"/>
  <c r="AA14" i="37"/>
  <c r="AA15" i="37" s="1"/>
  <c r="AA16" i="37" s="1"/>
  <c r="Y14" i="36"/>
  <c r="Y15" i="36" s="1"/>
  <c r="Y16" i="36" s="1"/>
  <c r="Z13" i="36"/>
  <c r="Y13" i="35"/>
  <c r="X14" i="35"/>
  <c r="X15" i="35" s="1"/>
  <c r="X16" i="35" s="1"/>
  <c r="X14" i="34"/>
  <c r="X15" i="34" s="1"/>
  <c r="X16" i="34" s="1"/>
  <c r="Y13" i="34"/>
  <c r="W14" i="33"/>
  <c r="W15" i="33" s="1"/>
  <c r="W16" i="33" s="1"/>
  <c r="X13" i="33"/>
  <c r="S14" i="32"/>
  <c r="S15" i="32" s="1"/>
  <c r="S16" i="32" s="1"/>
  <c r="T13" i="32"/>
  <c r="R14" i="31"/>
  <c r="R15" i="31" s="1"/>
  <c r="R16" i="31" s="1"/>
  <c r="S13" i="31"/>
  <c r="R14" i="30"/>
  <c r="R15" i="30" s="1"/>
  <c r="R16" i="30" s="1"/>
  <c r="S13" i="30"/>
  <c r="R14" i="29"/>
  <c r="R15" i="29" s="1"/>
  <c r="R16" i="29" s="1"/>
  <c r="S13" i="29"/>
  <c r="R14" i="28"/>
  <c r="R15" i="28" s="1"/>
  <c r="R16" i="28" s="1"/>
  <c r="S13" i="28"/>
  <c r="Q13" i="27"/>
  <c r="R13" i="27" s="1"/>
  <c r="P14" i="27"/>
  <c r="P15" i="27" s="1"/>
  <c r="P16" i="27" s="1"/>
  <c r="O14" i="26"/>
  <c r="O15" i="26" s="1"/>
  <c r="O16" i="26" s="1"/>
  <c r="P13" i="26"/>
  <c r="O13" i="25"/>
  <c r="N14" i="25"/>
  <c r="N15" i="25" s="1"/>
  <c r="N16" i="25" s="1"/>
  <c r="M14" i="24"/>
  <c r="M15" i="24" s="1"/>
  <c r="M16" i="24" s="1"/>
  <c r="N13" i="24"/>
  <c r="L13" i="23"/>
  <c r="K14" i="23"/>
  <c r="K15" i="23" s="1"/>
  <c r="K16" i="23" s="1"/>
  <c r="M13" i="22"/>
  <c r="L14" i="22"/>
  <c r="L15" i="22" s="1"/>
  <c r="L16" i="22" s="1"/>
  <c r="J14" i="21"/>
  <c r="J15" i="21" s="1"/>
  <c r="J16" i="21" s="1"/>
  <c r="K13" i="21"/>
  <c r="I13" i="20"/>
  <c r="J13" i="20" s="1"/>
  <c r="H14" i="20"/>
  <c r="H15" i="20" s="1"/>
  <c r="H16" i="20" s="1"/>
  <c r="J14" i="19"/>
  <c r="J15" i="19" s="1"/>
  <c r="J16" i="19" s="1"/>
  <c r="K13" i="19"/>
  <c r="H14" i="18"/>
  <c r="H15" i="18" s="1"/>
  <c r="H16" i="18" s="1"/>
  <c r="I13" i="18"/>
  <c r="J13" i="18" s="1"/>
  <c r="I15" i="17"/>
  <c r="I16" i="17" s="1"/>
  <c r="F15" i="17"/>
  <c r="F16" i="17" s="1"/>
  <c r="Q15" i="17"/>
  <c r="Q16" i="17" s="1"/>
  <c r="H13" i="17"/>
  <c r="E13" i="17"/>
  <c r="I15" i="16"/>
  <c r="I16" i="16" s="1"/>
  <c r="G13" i="16"/>
  <c r="Q14" i="15"/>
  <c r="I14" i="15"/>
  <c r="AA13" i="15"/>
  <c r="E15" i="15" s="1"/>
  <c r="G13" i="15"/>
  <c r="H13" i="15" s="1"/>
  <c r="F13" i="15"/>
  <c r="F14" i="15" s="1"/>
  <c r="Q14" i="14"/>
  <c r="I14" i="14"/>
  <c r="F14" i="14"/>
  <c r="AA13" i="14"/>
  <c r="E15" i="14" s="1"/>
  <c r="F15" i="14" s="1"/>
  <c r="F16" i="14" s="1"/>
  <c r="F13" i="14"/>
  <c r="G13" i="14" s="1"/>
  <c r="Q15" i="14" l="1"/>
  <c r="Q16" i="14" s="1"/>
  <c r="F15" i="15"/>
  <c r="F16" i="15" s="1"/>
  <c r="Z14" i="36"/>
  <c r="Z15" i="36" s="1"/>
  <c r="Z16" i="36" s="1"/>
  <c r="E17" i="36" s="1"/>
  <c r="AA14" i="36"/>
  <c r="AA15" i="36" s="1"/>
  <c r="AA16" i="36" s="1"/>
  <c r="Y14" i="35"/>
  <c r="Y15" i="35" s="1"/>
  <c r="Y16" i="35" s="1"/>
  <c r="Z13" i="35"/>
  <c r="Y14" i="34"/>
  <c r="Y15" i="34" s="1"/>
  <c r="Y16" i="34" s="1"/>
  <c r="Z13" i="34"/>
  <c r="X14" i="33"/>
  <c r="X15" i="33" s="1"/>
  <c r="X16" i="33" s="1"/>
  <c r="Y13" i="33"/>
  <c r="T14" i="32"/>
  <c r="T15" i="32" s="1"/>
  <c r="T16" i="32" s="1"/>
  <c r="U13" i="32"/>
  <c r="S14" i="31"/>
  <c r="S15" i="31" s="1"/>
  <c r="S16" i="31" s="1"/>
  <c r="T13" i="31"/>
  <c r="S14" i="30"/>
  <c r="S15" i="30" s="1"/>
  <c r="S16" i="30" s="1"/>
  <c r="T13" i="30"/>
  <c r="S14" i="29"/>
  <c r="S15" i="29" s="1"/>
  <c r="S16" i="29" s="1"/>
  <c r="T13" i="29"/>
  <c r="S14" i="28"/>
  <c r="S15" i="28" s="1"/>
  <c r="S16" i="28" s="1"/>
  <c r="T13" i="28"/>
  <c r="R14" i="27"/>
  <c r="R15" i="27" s="1"/>
  <c r="R16" i="27" s="1"/>
  <c r="S13" i="27"/>
  <c r="P14" i="26"/>
  <c r="P15" i="26" s="1"/>
  <c r="P16" i="26" s="1"/>
  <c r="Q13" i="26"/>
  <c r="R13" i="26" s="1"/>
  <c r="O14" i="25"/>
  <c r="O15" i="25" s="1"/>
  <c r="O16" i="25" s="1"/>
  <c r="P13" i="25"/>
  <c r="O13" i="24"/>
  <c r="N14" i="24"/>
  <c r="N15" i="24" s="1"/>
  <c r="N16" i="24" s="1"/>
  <c r="L14" i="23"/>
  <c r="L15" i="23" s="1"/>
  <c r="L16" i="23" s="1"/>
  <c r="M13" i="23"/>
  <c r="M14" i="22"/>
  <c r="M15" i="22" s="1"/>
  <c r="M16" i="22" s="1"/>
  <c r="N13" i="22"/>
  <c r="L13" i="21"/>
  <c r="K14" i="21"/>
  <c r="K15" i="21" s="1"/>
  <c r="K16" i="21" s="1"/>
  <c r="J14" i="20"/>
  <c r="J15" i="20" s="1"/>
  <c r="J16" i="20" s="1"/>
  <c r="K13" i="20"/>
  <c r="L13" i="19"/>
  <c r="K14" i="19"/>
  <c r="K15" i="19" s="1"/>
  <c r="K16" i="19" s="1"/>
  <c r="J14" i="18"/>
  <c r="J15" i="18" s="1"/>
  <c r="J16" i="18" s="1"/>
  <c r="K13" i="18"/>
  <c r="H14" i="17"/>
  <c r="H15" i="17" s="1"/>
  <c r="H16" i="17" s="1"/>
  <c r="I13" i="17"/>
  <c r="J13" i="17" s="1"/>
  <c r="H13" i="16"/>
  <c r="G14" i="16"/>
  <c r="G15" i="16" s="1"/>
  <c r="G16" i="16" s="1"/>
  <c r="I15" i="15"/>
  <c r="I16" i="15" s="1"/>
  <c r="H14" i="15"/>
  <c r="H15" i="15" s="1"/>
  <c r="H16" i="15" s="1"/>
  <c r="I13" i="15"/>
  <c r="J13" i="15" s="1"/>
  <c r="Q15" i="15"/>
  <c r="Q16" i="15" s="1"/>
  <c r="E13" i="15"/>
  <c r="G14" i="15"/>
  <c r="G15" i="15" s="1"/>
  <c r="G16" i="15" s="1"/>
  <c r="G14" i="14"/>
  <c r="G15" i="14" s="1"/>
  <c r="G16" i="14" s="1"/>
  <c r="H13" i="14"/>
  <c r="I15" i="14"/>
  <c r="I16" i="14" s="1"/>
  <c r="E13" i="14"/>
  <c r="Q14" i="12"/>
  <c r="I14" i="12"/>
  <c r="AA13" i="12"/>
  <c r="E15" i="12" s="1"/>
  <c r="F13" i="12"/>
  <c r="F14" i="12" s="1"/>
  <c r="E13" i="12"/>
  <c r="F15" i="12" l="1"/>
  <c r="F16" i="12" s="1"/>
  <c r="Z14" i="35"/>
  <c r="Z15" i="35" s="1"/>
  <c r="Z16" i="35" s="1"/>
  <c r="E17" i="35" s="1"/>
  <c r="AA14" i="35"/>
  <c r="AA15" i="35" s="1"/>
  <c r="AA16" i="35" s="1"/>
  <c r="Z14" i="34"/>
  <c r="Z15" i="34" s="1"/>
  <c r="Z16" i="34" s="1"/>
  <c r="E17" i="34" s="1"/>
  <c r="AA14" i="34"/>
  <c r="AA15" i="34" s="1"/>
  <c r="AA16" i="34" s="1"/>
  <c r="Z13" i="33"/>
  <c r="Y14" i="33"/>
  <c r="Y15" i="33" s="1"/>
  <c r="Y16" i="33" s="1"/>
  <c r="V13" i="32"/>
  <c r="U14" i="32"/>
  <c r="U15" i="32" s="1"/>
  <c r="U16" i="32" s="1"/>
  <c r="T14" i="31"/>
  <c r="T15" i="31" s="1"/>
  <c r="T16" i="31" s="1"/>
  <c r="U13" i="31"/>
  <c r="T14" i="30"/>
  <c r="T15" i="30" s="1"/>
  <c r="T16" i="30" s="1"/>
  <c r="U13" i="30"/>
  <c r="T14" i="29"/>
  <c r="T15" i="29" s="1"/>
  <c r="T16" i="29" s="1"/>
  <c r="U13" i="29"/>
  <c r="T14" i="28"/>
  <c r="T15" i="28" s="1"/>
  <c r="T16" i="28" s="1"/>
  <c r="U13" i="28"/>
  <c r="S14" i="27"/>
  <c r="S15" i="27" s="1"/>
  <c r="S16" i="27" s="1"/>
  <c r="T13" i="27"/>
  <c r="S13" i="26"/>
  <c r="R14" i="26"/>
  <c r="R15" i="26" s="1"/>
  <c r="R16" i="26" s="1"/>
  <c r="P14" i="25"/>
  <c r="P15" i="25" s="1"/>
  <c r="P16" i="25" s="1"/>
  <c r="Q13" i="25"/>
  <c r="R13" i="25" s="1"/>
  <c r="O14" i="24"/>
  <c r="O15" i="24" s="1"/>
  <c r="O16" i="24" s="1"/>
  <c r="P13" i="24"/>
  <c r="M14" i="23"/>
  <c r="M15" i="23" s="1"/>
  <c r="M16" i="23" s="1"/>
  <c r="N13" i="23"/>
  <c r="O13" i="22"/>
  <c r="N14" i="22"/>
  <c r="N15" i="22" s="1"/>
  <c r="N16" i="22" s="1"/>
  <c r="L14" i="21"/>
  <c r="L15" i="21" s="1"/>
  <c r="L16" i="21" s="1"/>
  <c r="M13" i="21"/>
  <c r="K14" i="20"/>
  <c r="K15" i="20" s="1"/>
  <c r="K16" i="20" s="1"/>
  <c r="L13" i="20"/>
  <c r="L14" i="19"/>
  <c r="L15" i="19" s="1"/>
  <c r="L16" i="19" s="1"/>
  <c r="M13" i="19"/>
  <c r="K14" i="18"/>
  <c r="K15" i="18" s="1"/>
  <c r="K16" i="18" s="1"/>
  <c r="L13" i="18"/>
  <c r="K13" i="17"/>
  <c r="J14" i="17"/>
  <c r="J15" i="17" s="1"/>
  <c r="J16" i="17" s="1"/>
  <c r="H14" i="16"/>
  <c r="H15" i="16" s="1"/>
  <c r="H16" i="16" s="1"/>
  <c r="I13" i="16"/>
  <c r="J13" i="16" s="1"/>
  <c r="K13" i="15"/>
  <c r="J14" i="15"/>
  <c r="J15" i="15" s="1"/>
  <c r="J16" i="15" s="1"/>
  <c r="H14" i="14"/>
  <c r="H15" i="14" s="1"/>
  <c r="H16" i="14" s="1"/>
  <c r="I13" i="14"/>
  <c r="J13" i="14" s="1"/>
  <c r="G13" i="12"/>
  <c r="G14" i="12" s="1"/>
  <c r="G15" i="12" s="1"/>
  <c r="G16" i="12" s="1"/>
  <c r="I15" i="12"/>
  <c r="I16" i="12" s="1"/>
  <c r="Q15" i="12"/>
  <c r="Q16" i="12" s="1"/>
  <c r="F13" i="11"/>
  <c r="F14" i="11" s="1"/>
  <c r="AA13" i="11"/>
  <c r="E13" i="11" s="1"/>
  <c r="I14" i="11"/>
  <c r="Q14" i="11"/>
  <c r="Z14" i="33" l="1"/>
  <c r="Z15" i="33" s="1"/>
  <c r="Z16" i="33" s="1"/>
  <c r="E17" i="33" s="1"/>
  <c r="AA14" i="33"/>
  <c r="AA15" i="33" s="1"/>
  <c r="AA16" i="33" s="1"/>
  <c r="V14" i="32"/>
  <c r="V15" i="32" s="1"/>
  <c r="V16" i="32" s="1"/>
  <c r="W13" i="32"/>
  <c r="V13" i="31"/>
  <c r="U14" i="31"/>
  <c r="U15" i="31" s="1"/>
  <c r="U16" i="31" s="1"/>
  <c r="V13" i="30"/>
  <c r="U14" i="30"/>
  <c r="U15" i="30" s="1"/>
  <c r="U16" i="30" s="1"/>
  <c r="V13" i="29"/>
  <c r="U14" i="29"/>
  <c r="U15" i="29" s="1"/>
  <c r="U16" i="29" s="1"/>
  <c r="V13" i="28"/>
  <c r="U14" i="28"/>
  <c r="U15" i="28" s="1"/>
  <c r="U16" i="28" s="1"/>
  <c r="U13" i="27"/>
  <c r="T14" i="27"/>
  <c r="T15" i="27" s="1"/>
  <c r="T16" i="27" s="1"/>
  <c r="S14" i="26"/>
  <c r="S15" i="26" s="1"/>
  <c r="S16" i="26" s="1"/>
  <c r="T13" i="26"/>
  <c r="S13" i="25"/>
  <c r="R14" i="25"/>
  <c r="R15" i="25" s="1"/>
  <c r="R16" i="25" s="1"/>
  <c r="P14" i="24"/>
  <c r="P15" i="24" s="1"/>
  <c r="P16" i="24" s="1"/>
  <c r="Q13" i="24"/>
  <c r="R13" i="24" s="1"/>
  <c r="N14" i="23"/>
  <c r="N15" i="23" s="1"/>
  <c r="N16" i="23" s="1"/>
  <c r="O13" i="23"/>
  <c r="O14" i="22"/>
  <c r="O15" i="22" s="1"/>
  <c r="O16" i="22" s="1"/>
  <c r="P13" i="22"/>
  <c r="M14" i="21"/>
  <c r="M15" i="21" s="1"/>
  <c r="M16" i="21" s="1"/>
  <c r="N13" i="21"/>
  <c r="M13" i="20"/>
  <c r="L14" i="20"/>
  <c r="L15" i="20" s="1"/>
  <c r="L16" i="20" s="1"/>
  <c r="M14" i="19"/>
  <c r="M15" i="19" s="1"/>
  <c r="M16" i="19" s="1"/>
  <c r="N13" i="19"/>
  <c r="L14" i="18"/>
  <c r="L15" i="18" s="1"/>
  <c r="L16" i="18" s="1"/>
  <c r="M13" i="18"/>
  <c r="K14" i="17"/>
  <c r="K15" i="17" s="1"/>
  <c r="K16" i="17" s="1"/>
  <c r="L13" i="17"/>
  <c r="J14" i="16"/>
  <c r="J15" i="16" s="1"/>
  <c r="J16" i="16" s="1"/>
  <c r="K13" i="16"/>
  <c r="K14" i="15"/>
  <c r="K15" i="15" s="1"/>
  <c r="K16" i="15" s="1"/>
  <c r="L13" i="15"/>
  <c r="J14" i="14"/>
  <c r="J15" i="14" s="1"/>
  <c r="J16" i="14" s="1"/>
  <c r="K13" i="14"/>
  <c r="G13" i="11"/>
  <c r="G14" i="11" s="1"/>
  <c r="H13" i="12"/>
  <c r="H14" i="12" s="1"/>
  <c r="H15" i="12" s="1"/>
  <c r="H16" i="12" s="1"/>
  <c r="E15" i="11"/>
  <c r="I15" i="11" s="1"/>
  <c r="I16" i="11" s="1"/>
  <c r="H13" i="11" l="1"/>
  <c r="W14" i="32"/>
  <c r="W15" i="32" s="1"/>
  <c r="W16" i="32" s="1"/>
  <c r="X13" i="32"/>
  <c r="V14" i="31"/>
  <c r="V15" i="31" s="1"/>
  <c r="V16" i="31" s="1"/>
  <c r="W13" i="31"/>
  <c r="V14" i="30"/>
  <c r="V15" i="30" s="1"/>
  <c r="V16" i="30" s="1"/>
  <c r="W13" i="30"/>
  <c r="V14" i="29"/>
  <c r="V15" i="29" s="1"/>
  <c r="V16" i="29" s="1"/>
  <c r="W13" i="29"/>
  <c r="V14" i="28"/>
  <c r="V15" i="28" s="1"/>
  <c r="V16" i="28" s="1"/>
  <c r="W13" i="28"/>
  <c r="U14" i="27"/>
  <c r="U15" i="27" s="1"/>
  <c r="U16" i="27" s="1"/>
  <c r="V13" i="27"/>
  <c r="T14" i="26"/>
  <c r="T15" i="26" s="1"/>
  <c r="T16" i="26" s="1"/>
  <c r="U13" i="26"/>
  <c r="S14" i="25"/>
  <c r="S15" i="25" s="1"/>
  <c r="S16" i="25" s="1"/>
  <c r="T13" i="25"/>
  <c r="S13" i="24"/>
  <c r="R14" i="24"/>
  <c r="R15" i="24" s="1"/>
  <c r="R16" i="24" s="1"/>
  <c r="P13" i="23"/>
  <c r="O14" i="23"/>
  <c r="O15" i="23" s="1"/>
  <c r="O16" i="23" s="1"/>
  <c r="Q13" i="22"/>
  <c r="R13" i="22" s="1"/>
  <c r="P14" i="22"/>
  <c r="P15" i="22" s="1"/>
  <c r="P16" i="22" s="1"/>
  <c r="N14" i="21"/>
  <c r="N15" i="21" s="1"/>
  <c r="N16" i="21" s="1"/>
  <c r="O13" i="21"/>
  <c r="M14" i="20"/>
  <c r="M15" i="20" s="1"/>
  <c r="M16" i="20" s="1"/>
  <c r="N13" i="20"/>
  <c r="O13" i="19"/>
  <c r="N14" i="19"/>
  <c r="N15" i="19" s="1"/>
  <c r="N16" i="19" s="1"/>
  <c r="M14" i="18"/>
  <c r="M15" i="18" s="1"/>
  <c r="M16" i="18" s="1"/>
  <c r="N13" i="18"/>
  <c r="L14" i="17"/>
  <c r="L15" i="17" s="1"/>
  <c r="L16" i="17" s="1"/>
  <c r="M13" i="17"/>
  <c r="L13" i="16"/>
  <c r="K14" i="16"/>
  <c r="K15" i="16" s="1"/>
  <c r="K16" i="16" s="1"/>
  <c r="L14" i="15"/>
  <c r="L15" i="15" s="1"/>
  <c r="L16" i="15" s="1"/>
  <c r="M13" i="15"/>
  <c r="K14" i="14"/>
  <c r="K15" i="14" s="1"/>
  <c r="K16" i="14" s="1"/>
  <c r="L13" i="14"/>
  <c r="I13" i="12"/>
  <c r="J13" i="12" s="1"/>
  <c r="J14" i="12" s="1"/>
  <c r="J15" i="12" s="1"/>
  <c r="J16" i="12" s="1"/>
  <c r="G15" i="11"/>
  <c r="G16" i="11" s="1"/>
  <c r="F15" i="11"/>
  <c r="F16" i="11" s="1"/>
  <c r="Q15" i="11"/>
  <c r="Q16" i="11" s="1"/>
  <c r="I13" i="11"/>
  <c r="J13" i="11" s="1"/>
  <c r="H14" i="11"/>
  <c r="H15" i="11" s="1"/>
  <c r="H16" i="11" s="1"/>
  <c r="X14" i="32" l="1"/>
  <c r="X15" i="32" s="1"/>
  <c r="X16" i="32" s="1"/>
  <c r="Y13" i="32"/>
  <c r="W14" i="31"/>
  <c r="W15" i="31" s="1"/>
  <c r="W16" i="31" s="1"/>
  <c r="X13" i="31"/>
  <c r="W14" i="30"/>
  <c r="W15" i="30" s="1"/>
  <c r="W16" i="30" s="1"/>
  <c r="X13" i="30"/>
  <c r="W14" i="29"/>
  <c r="W15" i="29" s="1"/>
  <c r="W16" i="29" s="1"/>
  <c r="X13" i="29"/>
  <c r="W14" i="28"/>
  <c r="W15" i="28" s="1"/>
  <c r="W16" i="28" s="1"/>
  <c r="X13" i="28"/>
  <c r="V14" i="27"/>
  <c r="V15" i="27" s="1"/>
  <c r="V16" i="27" s="1"/>
  <c r="W13" i="27"/>
  <c r="V13" i="26"/>
  <c r="U14" i="26"/>
  <c r="U15" i="26" s="1"/>
  <c r="U16" i="26" s="1"/>
  <c r="T14" i="25"/>
  <c r="T15" i="25" s="1"/>
  <c r="T16" i="25" s="1"/>
  <c r="U13" i="25"/>
  <c r="S14" i="24"/>
  <c r="S15" i="24" s="1"/>
  <c r="S16" i="24" s="1"/>
  <c r="T13" i="24"/>
  <c r="P14" i="23"/>
  <c r="P15" i="23" s="1"/>
  <c r="P16" i="23" s="1"/>
  <c r="Q13" i="23"/>
  <c r="R13" i="23" s="1"/>
  <c r="S13" i="22"/>
  <c r="R14" i="22"/>
  <c r="R15" i="22" s="1"/>
  <c r="R16" i="22" s="1"/>
  <c r="P13" i="21"/>
  <c r="O14" i="21"/>
  <c r="O15" i="21" s="1"/>
  <c r="O16" i="21" s="1"/>
  <c r="N14" i="20"/>
  <c r="N15" i="20" s="1"/>
  <c r="N16" i="20" s="1"/>
  <c r="O13" i="20"/>
  <c r="O14" i="19"/>
  <c r="O15" i="19" s="1"/>
  <c r="O16" i="19" s="1"/>
  <c r="P13" i="19"/>
  <c r="O13" i="18"/>
  <c r="N14" i="18"/>
  <c r="N15" i="18" s="1"/>
  <c r="N16" i="18" s="1"/>
  <c r="N13" i="17"/>
  <c r="M14" i="17"/>
  <c r="M15" i="17" s="1"/>
  <c r="M16" i="17" s="1"/>
  <c r="L14" i="16"/>
  <c r="L15" i="16" s="1"/>
  <c r="L16" i="16" s="1"/>
  <c r="M13" i="16"/>
  <c r="N13" i="15"/>
  <c r="M14" i="15"/>
  <c r="M15" i="15" s="1"/>
  <c r="M16" i="15" s="1"/>
  <c r="L14" i="14"/>
  <c r="L15" i="14" s="1"/>
  <c r="L16" i="14" s="1"/>
  <c r="M13" i="14"/>
  <c r="K13" i="12"/>
  <c r="K14" i="12" s="1"/>
  <c r="K15" i="12" s="1"/>
  <c r="K16" i="12" s="1"/>
  <c r="J14" i="11"/>
  <c r="J15" i="11" s="1"/>
  <c r="J16" i="11" s="1"/>
  <c r="K13" i="11"/>
  <c r="Z13" i="32" l="1"/>
  <c r="Y14" i="32"/>
  <c r="Y15" i="32" s="1"/>
  <c r="Y16" i="32" s="1"/>
  <c r="X14" i="31"/>
  <c r="X15" i="31" s="1"/>
  <c r="X16" i="31" s="1"/>
  <c r="Y13" i="31"/>
  <c r="X14" i="30"/>
  <c r="X15" i="30" s="1"/>
  <c r="X16" i="30" s="1"/>
  <c r="Y13" i="30"/>
  <c r="X14" i="29"/>
  <c r="X15" i="29" s="1"/>
  <c r="X16" i="29" s="1"/>
  <c r="Y13" i="29"/>
  <c r="X14" i="28"/>
  <c r="X15" i="28" s="1"/>
  <c r="X16" i="28" s="1"/>
  <c r="Y13" i="28"/>
  <c r="W14" i="27"/>
  <c r="W15" i="27" s="1"/>
  <c r="W16" i="27" s="1"/>
  <c r="X13" i="27"/>
  <c r="V14" i="26"/>
  <c r="V15" i="26" s="1"/>
  <c r="V16" i="26" s="1"/>
  <c r="W13" i="26"/>
  <c r="U14" i="25"/>
  <c r="U15" i="25" s="1"/>
  <c r="U16" i="25" s="1"/>
  <c r="V13" i="25"/>
  <c r="T14" i="24"/>
  <c r="T15" i="24" s="1"/>
  <c r="T16" i="24" s="1"/>
  <c r="U13" i="24"/>
  <c r="R14" i="23"/>
  <c r="R15" i="23" s="1"/>
  <c r="R16" i="23" s="1"/>
  <c r="S13" i="23"/>
  <c r="S14" i="22"/>
  <c r="S15" i="22" s="1"/>
  <c r="S16" i="22" s="1"/>
  <c r="T13" i="22"/>
  <c r="P14" i="21"/>
  <c r="P15" i="21" s="1"/>
  <c r="P16" i="21" s="1"/>
  <c r="Q13" i="21"/>
  <c r="R13" i="21" s="1"/>
  <c r="O14" i="20"/>
  <c r="O15" i="20" s="1"/>
  <c r="O16" i="20" s="1"/>
  <c r="P13" i="20"/>
  <c r="Q13" i="19"/>
  <c r="R13" i="19" s="1"/>
  <c r="P14" i="19"/>
  <c r="P15" i="19" s="1"/>
  <c r="P16" i="19" s="1"/>
  <c r="O14" i="18"/>
  <c r="O15" i="18" s="1"/>
  <c r="O16" i="18" s="1"/>
  <c r="P13" i="18"/>
  <c r="O13" i="17"/>
  <c r="N14" i="17"/>
  <c r="N15" i="17" s="1"/>
  <c r="N16" i="17" s="1"/>
  <c r="M14" i="16"/>
  <c r="M15" i="16" s="1"/>
  <c r="M16" i="16" s="1"/>
  <c r="N13" i="16"/>
  <c r="N14" i="15"/>
  <c r="N15" i="15" s="1"/>
  <c r="N16" i="15" s="1"/>
  <c r="O13" i="15"/>
  <c r="N13" i="14"/>
  <c r="M14" i="14"/>
  <c r="M15" i="14" s="1"/>
  <c r="M16" i="14" s="1"/>
  <c r="L13" i="12"/>
  <c r="L14" i="12" s="1"/>
  <c r="L15" i="12" s="1"/>
  <c r="L16" i="12" s="1"/>
  <c r="K14" i="11"/>
  <c r="K15" i="11" s="1"/>
  <c r="K16" i="11" s="1"/>
  <c r="L13" i="11"/>
  <c r="Z14" i="32" l="1"/>
  <c r="Z15" i="32" s="1"/>
  <c r="Z16" i="32" s="1"/>
  <c r="E17" i="32" s="1"/>
  <c r="AA14" i="32"/>
  <c r="AA15" i="32" s="1"/>
  <c r="AA16" i="32" s="1"/>
  <c r="Z13" i="31"/>
  <c r="Y14" i="31"/>
  <c r="Y15" i="31" s="1"/>
  <c r="Y16" i="31" s="1"/>
  <c r="Z13" i="30"/>
  <c r="Y14" i="30"/>
  <c r="Y15" i="30" s="1"/>
  <c r="Y16" i="30" s="1"/>
  <c r="Z13" i="29"/>
  <c r="Y14" i="29"/>
  <c r="Y15" i="29" s="1"/>
  <c r="Y16" i="29" s="1"/>
  <c r="Z13" i="28"/>
  <c r="Y14" i="28"/>
  <c r="Y15" i="28" s="1"/>
  <c r="Y16" i="28" s="1"/>
  <c r="Y13" i="27"/>
  <c r="X14" i="27"/>
  <c r="X15" i="27" s="1"/>
  <c r="X16" i="27" s="1"/>
  <c r="W14" i="26"/>
  <c r="W15" i="26" s="1"/>
  <c r="W16" i="26" s="1"/>
  <c r="X13" i="26"/>
  <c r="W13" i="25"/>
  <c r="V14" i="25"/>
  <c r="V15" i="25" s="1"/>
  <c r="V16" i="25" s="1"/>
  <c r="U14" i="24"/>
  <c r="U15" i="24" s="1"/>
  <c r="U16" i="24" s="1"/>
  <c r="V13" i="24"/>
  <c r="T13" i="23"/>
  <c r="S14" i="23"/>
  <c r="S15" i="23" s="1"/>
  <c r="S16" i="23" s="1"/>
  <c r="U13" i="22"/>
  <c r="T14" i="22"/>
  <c r="T15" i="22" s="1"/>
  <c r="T16" i="22" s="1"/>
  <c r="R14" i="21"/>
  <c r="R15" i="21" s="1"/>
  <c r="R16" i="21" s="1"/>
  <c r="S13" i="21"/>
  <c r="Q13" i="20"/>
  <c r="R13" i="20" s="1"/>
  <c r="P14" i="20"/>
  <c r="P15" i="20" s="1"/>
  <c r="P16" i="20" s="1"/>
  <c r="R14" i="19"/>
  <c r="R15" i="19" s="1"/>
  <c r="R16" i="19" s="1"/>
  <c r="S13" i="19"/>
  <c r="P14" i="18"/>
  <c r="P15" i="18" s="1"/>
  <c r="P16" i="18" s="1"/>
  <c r="Q13" i="18"/>
  <c r="R13" i="18" s="1"/>
  <c r="O14" i="17"/>
  <c r="O15" i="17" s="1"/>
  <c r="O16" i="17" s="1"/>
  <c r="P13" i="17"/>
  <c r="N14" i="16"/>
  <c r="N15" i="16" s="1"/>
  <c r="N16" i="16" s="1"/>
  <c r="O13" i="16"/>
  <c r="P13" i="15"/>
  <c r="O14" i="15"/>
  <c r="O15" i="15" s="1"/>
  <c r="O16" i="15" s="1"/>
  <c r="N14" i="14"/>
  <c r="N15" i="14" s="1"/>
  <c r="N16" i="14" s="1"/>
  <c r="O13" i="14"/>
  <c r="M13" i="12"/>
  <c r="N13" i="12" s="1"/>
  <c r="M13" i="11"/>
  <c r="L14" i="11"/>
  <c r="L15" i="11" s="1"/>
  <c r="L16" i="11" s="1"/>
  <c r="Z14" i="31" l="1"/>
  <c r="Z15" i="31" s="1"/>
  <c r="Z16" i="31" s="1"/>
  <c r="E17" i="31" s="1"/>
  <c r="AA14" i="31"/>
  <c r="AA15" i="31" s="1"/>
  <c r="AA16" i="31" s="1"/>
  <c r="Z14" i="30"/>
  <c r="Z15" i="30" s="1"/>
  <c r="Z16" i="30" s="1"/>
  <c r="E17" i="30" s="1"/>
  <c r="AA14" i="30"/>
  <c r="AA15" i="30" s="1"/>
  <c r="AA16" i="30" s="1"/>
  <c r="Z14" i="29"/>
  <c r="Z15" i="29" s="1"/>
  <c r="Z16" i="29" s="1"/>
  <c r="E17" i="29" s="1"/>
  <c r="AA14" i="29"/>
  <c r="AA15" i="29" s="1"/>
  <c r="AA16" i="29" s="1"/>
  <c r="Z14" i="28"/>
  <c r="Z15" i="28" s="1"/>
  <c r="Z16" i="28" s="1"/>
  <c r="E17" i="28" s="1"/>
  <c r="AA14" i="28"/>
  <c r="AA15" i="28" s="1"/>
  <c r="AA16" i="28" s="1"/>
  <c r="Z13" i="27"/>
  <c r="Y14" i="27"/>
  <c r="Y15" i="27" s="1"/>
  <c r="Y16" i="27" s="1"/>
  <c r="X14" i="26"/>
  <c r="X15" i="26" s="1"/>
  <c r="X16" i="26" s="1"/>
  <c r="Y13" i="26"/>
  <c r="W14" i="25"/>
  <c r="W15" i="25" s="1"/>
  <c r="W16" i="25" s="1"/>
  <c r="X13" i="25"/>
  <c r="W13" i="24"/>
  <c r="V14" i="24"/>
  <c r="V15" i="24" s="1"/>
  <c r="V16" i="24" s="1"/>
  <c r="T14" i="23"/>
  <c r="T15" i="23" s="1"/>
  <c r="T16" i="23" s="1"/>
  <c r="U13" i="23"/>
  <c r="U14" i="22"/>
  <c r="U15" i="22" s="1"/>
  <c r="U16" i="22" s="1"/>
  <c r="V13" i="22"/>
  <c r="T13" i="21"/>
  <c r="S14" i="21"/>
  <c r="S15" i="21" s="1"/>
  <c r="S16" i="21" s="1"/>
  <c r="R14" i="20"/>
  <c r="R15" i="20" s="1"/>
  <c r="R16" i="20" s="1"/>
  <c r="S13" i="20"/>
  <c r="T13" i="19"/>
  <c r="S14" i="19"/>
  <c r="S15" i="19" s="1"/>
  <c r="S16" i="19" s="1"/>
  <c r="R14" i="18"/>
  <c r="R15" i="18" s="1"/>
  <c r="R16" i="18" s="1"/>
  <c r="S13" i="18"/>
  <c r="P14" i="17"/>
  <c r="P15" i="17" s="1"/>
  <c r="P16" i="17" s="1"/>
  <c r="Q13" i="17"/>
  <c r="R13" i="17" s="1"/>
  <c r="P13" i="16"/>
  <c r="O14" i="16"/>
  <c r="O15" i="16" s="1"/>
  <c r="O16" i="16" s="1"/>
  <c r="P14" i="15"/>
  <c r="P15" i="15" s="1"/>
  <c r="P16" i="15" s="1"/>
  <c r="Q13" i="15"/>
  <c r="R13" i="15" s="1"/>
  <c r="O14" i="14"/>
  <c r="O15" i="14" s="1"/>
  <c r="O16" i="14" s="1"/>
  <c r="P13" i="14"/>
  <c r="M14" i="12"/>
  <c r="M15" i="12" s="1"/>
  <c r="M16" i="12" s="1"/>
  <c r="N14" i="12"/>
  <c r="N15" i="12" s="1"/>
  <c r="N16" i="12" s="1"/>
  <c r="O13" i="12"/>
  <c r="N13" i="11"/>
  <c r="M14" i="11"/>
  <c r="M15" i="11" s="1"/>
  <c r="M16" i="11" s="1"/>
  <c r="Z14" i="27" l="1"/>
  <c r="Z15" i="27" s="1"/>
  <c r="Z16" i="27" s="1"/>
  <c r="E17" i="27" s="1"/>
  <c r="AA14" i="27"/>
  <c r="AA15" i="27" s="1"/>
  <c r="AA16" i="27" s="1"/>
  <c r="Z13" i="26"/>
  <c r="Y14" i="26"/>
  <c r="Y15" i="26" s="1"/>
  <c r="Y16" i="26" s="1"/>
  <c r="X14" i="25"/>
  <c r="X15" i="25" s="1"/>
  <c r="X16" i="25" s="1"/>
  <c r="Y13" i="25"/>
  <c r="W14" i="24"/>
  <c r="W15" i="24" s="1"/>
  <c r="W16" i="24" s="1"/>
  <c r="X13" i="24"/>
  <c r="U14" i="23"/>
  <c r="U15" i="23" s="1"/>
  <c r="U16" i="23" s="1"/>
  <c r="V13" i="23"/>
  <c r="W13" i="22"/>
  <c r="V14" i="22"/>
  <c r="V15" i="22" s="1"/>
  <c r="V16" i="22" s="1"/>
  <c r="T14" i="21"/>
  <c r="T15" i="21" s="1"/>
  <c r="T16" i="21" s="1"/>
  <c r="U13" i="21"/>
  <c r="S14" i="20"/>
  <c r="S15" i="20" s="1"/>
  <c r="S16" i="20" s="1"/>
  <c r="T13" i="20"/>
  <c r="T14" i="19"/>
  <c r="T15" i="19" s="1"/>
  <c r="T16" i="19" s="1"/>
  <c r="U13" i="19"/>
  <c r="S14" i="18"/>
  <c r="S15" i="18" s="1"/>
  <c r="S16" i="18" s="1"/>
  <c r="T13" i="18"/>
  <c r="S13" i="17"/>
  <c r="R14" i="17"/>
  <c r="R15" i="17" s="1"/>
  <c r="R16" i="17" s="1"/>
  <c r="P14" i="16"/>
  <c r="P15" i="16" s="1"/>
  <c r="P16" i="16" s="1"/>
  <c r="Q13" i="16"/>
  <c r="R13" i="16" s="1"/>
  <c r="R14" i="15"/>
  <c r="R15" i="15" s="1"/>
  <c r="R16" i="15" s="1"/>
  <c r="S13" i="15"/>
  <c r="P14" i="14"/>
  <c r="P15" i="14" s="1"/>
  <c r="P16" i="14" s="1"/>
  <c r="Q13" i="14"/>
  <c r="R13" i="14" s="1"/>
  <c r="O14" i="12"/>
  <c r="O15" i="12" s="1"/>
  <c r="O16" i="12" s="1"/>
  <c r="P13" i="12"/>
  <c r="O13" i="11"/>
  <c r="N14" i="11"/>
  <c r="N15" i="11" s="1"/>
  <c r="N16" i="11" s="1"/>
  <c r="Z14" i="26" l="1"/>
  <c r="Z15" i="26" s="1"/>
  <c r="Z16" i="26" s="1"/>
  <c r="E17" i="26" s="1"/>
  <c r="AA14" i="26"/>
  <c r="AA15" i="26" s="1"/>
  <c r="AA16" i="26" s="1"/>
  <c r="Y14" i="25"/>
  <c r="Y15" i="25" s="1"/>
  <c r="Y16" i="25" s="1"/>
  <c r="Z13" i="25"/>
  <c r="X14" i="24"/>
  <c r="X15" i="24" s="1"/>
  <c r="X16" i="24" s="1"/>
  <c r="Y13" i="24"/>
  <c r="V14" i="23"/>
  <c r="V15" i="23" s="1"/>
  <c r="V16" i="23" s="1"/>
  <c r="W13" i="23"/>
  <c r="W14" i="22"/>
  <c r="W15" i="22" s="1"/>
  <c r="W16" i="22" s="1"/>
  <c r="X13" i="22"/>
  <c r="U14" i="21"/>
  <c r="U15" i="21" s="1"/>
  <c r="U16" i="21" s="1"/>
  <c r="V13" i="21"/>
  <c r="U13" i="20"/>
  <c r="T14" i="20"/>
  <c r="T15" i="20" s="1"/>
  <c r="T16" i="20" s="1"/>
  <c r="V13" i="19"/>
  <c r="U14" i="19"/>
  <c r="U15" i="19" s="1"/>
  <c r="U16" i="19" s="1"/>
  <c r="T14" i="18"/>
  <c r="T15" i="18" s="1"/>
  <c r="T16" i="18" s="1"/>
  <c r="U13" i="18"/>
  <c r="S14" i="17"/>
  <c r="S15" i="17" s="1"/>
  <c r="S16" i="17" s="1"/>
  <c r="T13" i="17"/>
  <c r="R14" i="16"/>
  <c r="R15" i="16" s="1"/>
  <c r="R16" i="16" s="1"/>
  <c r="S13" i="16"/>
  <c r="S14" i="15"/>
  <c r="S15" i="15" s="1"/>
  <c r="S16" i="15" s="1"/>
  <c r="T13" i="15"/>
  <c r="R14" i="14"/>
  <c r="R15" i="14" s="1"/>
  <c r="R16" i="14" s="1"/>
  <c r="S13" i="14"/>
  <c r="P14" i="12"/>
  <c r="P15" i="12" s="1"/>
  <c r="P16" i="12" s="1"/>
  <c r="Q13" i="12"/>
  <c r="R13" i="12" s="1"/>
  <c r="O14" i="11"/>
  <c r="O15" i="11" s="1"/>
  <c r="O16" i="11" s="1"/>
  <c r="P13" i="11"/>
  <c r="AA14" i="25" l="1"/>
  <c r="AA15" i="25" s="1"/>
  <c r="AA16" i="25" s="1"/>
  <c r="Z14" i="25"/>
  <c r="Z15" i="25" s="1"/>
  <c r="Z16" i="25" s="1"/>
  <c r="E17" i="25" s="1"/>
  <c r="Y14" i="24"/>
  <c r="Y15" i="24" s="1"/>
  <c r="Y16" i="24" s="1"/>
  <c r="Z13" i="24"/>
  <c r="X13" i="23"/>
  <c r="W14" i="23"/>
  <c r="W15" i="23" s="1"/>
  <c r="W16" i="23" s="1"/>
  <c r="Y13" i="22"/>
  <c r="X14" i="22"/>
  <c r="X15" i="22" s="1"/>
  <c r="X16" i="22" s="1"/>
  <c r="V14" i="21"/>
  <c r="V15" i="21" s="1"/>
  <c r="V16" i="21" s="1"/>
  <c r="W13" i="21"/>
  <c r="U14" i="20"/>
  <c r="U15" i="20" s="1"/>
  <c r="U16" i="20" s="1"/>
  <c r="V13" i="20"/>
  <c r="W13" i="19"/>
  <c r="V14" i="19"/>
  <c r="V15" i="19" s="1"/>
  <c r="V16" i="19" s="1"/>
  <c r="U14" i="18"/>
  <c r="U15" i="18" s="1"/>
  <c r="U16" i="18" s="1"/>
  <c r="V13" i="18"/>
  <c r="T14" i="17"/>
  <c r="T15" i="17" s="1"/>
  <c r="T16" i="17" s="1"/>
  <c r="U13" i="17"/>
  <c r="T13" i="16"/>
  <c r="S14" i="16"/>
  <c r="S15" i="16" s="1"/>
  <c r="S16" i="16" s="1"/>
  <c r="T14" i="15"/>
  <c r="T15" i="15" s="1"/>
  <c r="T16" i="15" s="1"/>
  <c r="U13" i="15"/>
  <c r="S14" i="14"/>
  <c r="S15" i="14" s="1"/>
  <c r="S16" i="14" s="1"/>
  <c r="T13" i="14"/>
  <c r="R14" i="12"/>
  <c r="R15" i="12" s="1"/>
  <c r="R16" i="12" s="1"/>
  <c r="S13" i="12"/>
  <c r="Q13" i="11"/>
  <c r="R13" i="11" s="1"/>
  <c r="P14" i="11"/>
  <c r="P15" i="11" s="1"/>
  <c r="P16" i="11" s="1"/>
  <c r="AA14" i="24" l="1"/>
  <c r="AA15" i="24" s="1"/>
  <c r="AA16" i="24" s="1"/>
  <c r="Z14" i="24"/>
  <c r="Z15" i="24" s="1"/>
  <c r="Z16" i="24" s="1"/>
  <c r="E17" i="24" s="1"/>
  <c r="X14" i="23"/>
  <c r="X15" i="23" s="1"/>
  <c r="X16" i="23" s="1"/>
  <c r="Y13" i="23"/>
  <c r="Y14" i="22"/>
  <c r="Y15" i="22" s="1"/>
  <c r="Y16" i="22" s="1"/>
  <c r="Z13" i="22"/>
  <c r="X13" i="21"/>
  <c r="W14" i="21"/>
  <c r="W15" i="21" s="1"/>
  <c r="W16" i="21" s="1"/>
  <c r="V14" i="20"/>
  <c r="V15" i="20" s="1"/>
  <c r="V16" i="20" s="1"/>
  <c r="W13" i="20"/>
  <c r="X13" i="19"/>
  <c r="W14" i="19"/>
  <c r="W15" i="19" s="1"/>
  <c r="W16" i="19" s="1"/>
  <c r="W13" i="18"/>
  <c r="V14" i="18"/>
  <c r="V15" i="18" s="1"/>
  <c r="V16" i="18" s="1"/>
  <c r="V13" i="17"/>
  <c r="U14" i="17"/>
  <c r="U15" i="17" s="1"/>
  <c r="U16" i="17" s="1"/>
  <c r="T14" i="16"/>
  <c r="T15" i="16" s="1"/>
  <c r="T16" i="16" s="1"/>
  <c r="U13" i="16"/>
  <c r="V13" i="15"/>
  <c r="U14" i="15"/>
  <c r="U15" i="15" s="1"/>
  <c r="U16" i="15" s="1"/>
  <c r="T14" i="14"/>
  <c r="T15" i="14" s="1"/>
  <c r="T16" i="14" s="1"/>
  <c r="U13" i="14"/>
  <c r="S14" i="12"/>
  <c r="S15" i="12" s="1"/>
  <c r="S16" i="12" s="1"/>
  <c r="T13" i="12"/>
  <c r="S13" i="11"/>
  <c r="R14" i="11"/>
  <c r="R15" i="11" s="1"/>
  <c r="R16" i="11" s="1"/>
  <c r="Y14" i="23" l="1"/>
  <c r="Y15" i="23" s="1"/>
  <c r="Y16" i="23" s="1"/>
  <c r="Z13" i="23"/>
  <c r="Z14" i="22"/>
  <c r="Z15" i="22" s="1"/>
  <c r="Z16" i="22" s="1"/>
  <c r="E17" i="22" s="1"/>
  <c r="AA14" i="22"/>
  <c r="AA15" i="22" s="1"/>
  <c r="AA16" i="22" s="1"/>
  <c r="X14" i="21"/>
  <c r="X15" i="21" s="1"/>
  <c r="X16" i="21" s="1"/>
  <c r="Y13" i="21"/>
  <c r="W14" i="20"/>
  <c r="W15" i="20" s="1"/>
  <c r="W16" i="20" s="1"/>
  <c r="X13" i="20"/>
  <c r="Y13" i="19"/>
  <c r="X14" i="19"/>
  <c r="X15" i="19" s="1"/>
  <c r="X16" i="19" s="1"/>
  <c r="W14" i="18"/>
  <c r="W15" i="18" s="1"/>
  <c r="W16" i="18" s="1"/>
  <c r="X13" i="18"/>
  <c r="W13" i="17"/>
  <c r="V14" i="17"/>
  <c r="V15" i="17" s="1"/>
  <c r="V16" i="17" s="1"/>
  <c r="U14" i="16"/>
  <c r="U15" i="16" s="1"/>
  <c r="U16" i="16" s="1"/>
  <c r="V13" i="16"/>
  <c r="V14" i="15"/>
  <c r="V15" i="15" s="1"/>
  <c r="V16" i="15" s="1"/>
  <c r="W13" i="15"/>
  <c r="V13" i="14"/>
  <c r="U14" i="14"/>
  <c r="U15" i="14" s="1"/>
  <c r="U16" i="14" s="1"/>
  <c r="T14" i="12"/>
  <c r="T15" i="12" s="1"/>
  <c r="T16" i="12" s="1"/>
  <c r="U13" i="12"/>
  <c r="S14" i="11"/>
  <c r="S15" i="11" s="1"/>
  <c r="S16" i="11" s="1"/>
  <c r="T13" i="11"/>
  <c r="Z14" i="23" l="1"/>
  <c r="Z15" i="23" s="1"/>
  <c r="Z16" i="23" s="1"/>
  <c r="E17" i="23" s="1"/>
  <c r="AA14" i="23"/>
  <c r="AA15" i="23" s="1"/>
  <c r="AA16" i="23" s="1"/>
  <c r="Y14" i="21"/>
  <c r="Y15" i="21" s="1"/>
  <c r="Y16" i="21" s="1"/>
  <c r="Z13" i="21"/>
  <c r="Y13" i="20"/>
  <c r="X14" i="20"/>
  <c r="X15" i="20" s="1"/>
  <c r="X16" i="20" s="1"/>
  <c r="Z13" i="19"/>
  <c r="Y14" i="19"/>
  <c r="Y15" i="19" s="1"/>
  <c r="Y16" i="19" s="1"/>
  <c r="X14" i="18"/>
  <c r="X15" i="18" s="1"/>
  <c r="X16" i="18" s="1"/>
  <c r="Y13" i="18"/>
  <c r="W14" i="17"/>
  <c r="W15" i="17" s="1"/>
  <c r="W16" i="17" s="1"/>
  <c r="X13" i="17"/>
  <c r="V14" i="16"/>
  <c r="V15" i="16" s="1"/>
  <c r="V16" i="16" s="1"/>
  <c r="W13" i="16"/>
  <c r="X13" i="15"/>
  <c r="W14" i="15"/>
  <c r="W15" i="15" s="1"/>
  <c r="W16" i="15" s="1"/>
  <c r="V14" i="14"/>
  <c r="V15" i="14" s="1"/>
  <c r="V16" i="14" s="1"/>
  <c r="W13" i="14"/>
  <c r="V13" i="12"/>
  <c r="U14" i="12"/>
  <c r="U15" i="12" s="1"/>
  <c r="U16" i="12" s="1"/>
  <c r="U13" i="11"/>
  <c r="T14" i="11"/>
  <c r="T15" i="11" s="1"/>
  <c r="T16" i="11" s="1"/>
  <c r="Z14" i="21" l="1"/>
  <c r="Z15" i="21" s="1"/>
  <c r="Z16" i="21" s="1"/>
  <c r="E17" i="21" s="1"/>
  <c r="AA14" i="21"/>
  <c r="AA15" i="21" s="1"/>
  <c r="AA16" i="21" s="1"/>
  <c r="Y14" i="20"/>
  <c r="Y15" i="20" s="1"/>
  <c r="Y16" i="20" s="1"/>
  <c r="Z13" i="20"/>
  <c r="AA14" i="19"/>
  <c r="AA15" i="19" s="1"/>
  <c r="AA16" i="19" s="1"/>
  <c r="Z14" i="19"/>
  <c r="Z15" i="19" s="1"/>
  <c r="Z16" i="19" s="1"/>
  <c r="E17" i="19" s="1"/>
  <c r="Y14" i="18"/>
  <c r="Y15" i="18" s="1"/>
  <c r="Y16" i="18" s="1"/>
  <c r="Z13" i="18"/>
  <c r="X14" i="17"/>
  <c r="X15" i="17" s="1"/>
  <c r="X16" i="17" s="1"/>
  <c r="Y13" i="17"/>
  <c r="X13" i="16"/>
  <c r="W14" i="16"/>
  <c r="W15" i="16" s="1"/>
  <c r="W16" i="16" s="1"/>
  <c r="X14" i="15"/>
  <c r="X15" i="15" s="1"/>
  <c r="X16" i="15" s="1"/>
  <c r="Y13" i="15"/>
  <c r="W14" i="14"/>
  <c r="W15" i="14" s="1"/>
  <c r="W16" i="14" s="1"/>
  <c r="X13" i="14"/>
  <c r="V14" i="12"/>
  <c r="V15" i="12" s="1"/>
  <c r="V16" i="12" s="1"/>
  <c r="W13" i="12"/>
  <c r="V13" i="11"/>
  <c r="U14" i="11"/>
  <c r="U15" i="11" s="1"/>
  <c r="U16" i="11" s="1"/>
  <c r="Z14" i="20" l="1"/>
  <c r="Z15" i="20" s="1"/>
  <c r="Z16" i="20" s="1"/>
  <c r="E17" i="20" s="1"/>
  <c r="AA14" i="20"/>
  <c r="AA15" i="20" s="1"/>
  <c r="AA16" i="20" s="1"/>
  <c r="Z14" i="18"/>
  <c r="Z15" i="18" s="1"/>
  <c r="Z16" i="18" s="1"/>
  <c r="E17" i="18" s="1"/>
  <c r="AA14" i="18"/>
  <c r="AA15" i="18" s="1"/>
  <c r="AA16" i="18" s="1"/>
  <c r="Z13" i="17"/>
  <c r="Y14" i="17"/>
  <c r="Y15" i="17" s="1"/>
  <c r="Y16" i="17" s="1"/>
  <c r="X14" i="16"/>
  <c r="X15" i="16" s="1"/>
  <c r="X16" i="16" s="1"/>
  <c r="Y13" i="16"/>
  <c r="Z13" i="15"/>
  <c r="Y14" i="15"/>
  <c r="Y15" i="15" s="1"/>
  <c r="Y16" i="15" s="1"/>
  <c r="X14" i="14"/>
  <c r="X15" i="14" s="1"/>
  <c r="X16" i="14" s="1"/>
  <c r="Y13" i="14"/>
  <c r="W14" i="12"/>
  <c r="W15" i="12" s="1"/>
  <c r="W16" i="12" s="1"/>
  <c r="X13" i="12"/>
  <c r="V14" i="11"/>
  <c r="V15" i="11" s="1"/>
  <c r="V16" i="11" s="1"/>
  <c r="W13" i="11"/>
  <c r="Z14" i="17" l="1"/>
  <c r="Z15" i="17" s="1"/>
  <c r="Z16" i="17" s="1"/>
  <c r="E17" i="17" s="1"/>
  <c r="AA14" i="17"/>
  <c r="AA15" i="17" s="1"/>
  <c r="AA16" i="17" s="1"/>
  <c r="Y14" i="16"/>
  <c r="Y15" i="16" s="1"/>
  <c r="Y16" i="16" s="1"/>
  <c r="Z13" i="16"/>
  <c r="Z14" i="15"/>
  <c r="Z15" i="15" s="1"/>
  <c r="Z16" i="15" s="1"/>
  <c r="E17" i="15" s="1"/>
  <c r="AA14" i="15"/>
  <c r="AA15" i="15" s="1"/>
  <c r="AA16" i="15" s="1"/>
  <c r="Z13" i="14"/>
  <c r="Y14" i="14"/>
  <c r="Y15" i="14" s="1"/>
  <c r="Y16" i="14" s="1"/>
  <c r="X14" i="12"/>
  <c r="X15" i="12" s="1"/>
  <c r="X16" i="12" s="1"/>
  <c r="Y13" i="12"/>
  <c r="W14" i="11"/>
  <c r="W15" i="11" s="1"/>
  <c r="W16" i="11" s="1"/>
  <c r="X13" i="11"/>
  <c r="Z14" i="16" l="1"/>
  <c r="Z15" i="16" s="1"/>
  <c r="Z16" i="16" s="1"/>
  <c r="E17" i="16" s="1"/>
  <c r="AA14" i="16"/>
  <c r="AA15" i="16" s="1"/>
  <c r="AA16" i="16" s="1"/>
  <c r="Z14" i="14"/>
  <c r="Z15" i="14" s="1"/>
  <c r="Z16" i="14" s="1"/>
  <c r="E17" i="14" s="1"/>
  <c r="AA14" i="14"/>
  <c r="AA15" i="14" s="1"/>
  <c r="AA16" i="14" s="1"/>
  <c r="Z13" i="12"/>
  <c r="Y14" i="12"/>
  <c r="Y15" i="12" s="1"/>
  <c r="Y16" i="12" s="1"/>
  <c r="Y13" i="11"/>
  <c r="X14" i="11"/>
  <c r="X15" i="11" s="1"/>
  <c r="X16" i="11" s="1"/>
  <c r="Z14" i="12" l="1"/>
  <c r="Z15" i="12" s="1"/>
  <c r="Z16" i="12" s="1"/>
  <c r="E17" i="12" s="1"/>
  <c r="AA14" i="12"/>
  <c r="AA15" i="12" s="1"/>
  <c r="AA16" i="12" s="1"/>
  <c r="Z13" i="11"/>
  <c r="Y14" i="11"/>
  <c r="Y15" i="11" s="1"/>
  <c r="Y16" i="11" s="1"/>
  <c r="Z14" i="11" l="1"/>
  <c r="Z15" i="11" s="1"/>
  <c r="Z16" i="11" s="1"/>
  <c r="E17" i="11" s="1"/>
  <c r="AA14" i="11"/>
  <c r="AA15" i="11" s="1"/>
  <c r="AA16" i="11" s="1"/>
  <c r="F13" i="9" l="1"/>
  <c r="Q14" i="9" l="1"/>
  <c r="I14" i="9"/>
  <c r="F14" i="9"/>
  <c r="AA13" i="9"/>
  <c r="E15" i="9" s="1"/>
  <c r="G13" i="9"/>
  <c r="H13" i="9" l="1"/>
  <c r="G14" i="9"/>
  <c r="G15" i="9" s="1"/>
  <c r="G16" i="9" s="1"/>
  <c r="I15" i="9"/>
  <c r="I16" i="9" s="1"/>
  <c r="E13" i="9"/>
  <c r="H14" i="9"/>
  <c r="H15" i="9" s="1"/>
  <c r="H16" i="9" s="1"/>
  <c r="I13" i="9"/>
  <c r="J13" i="9" s="1"/>
  <c r="Q15" i="9"/>
  <c r="Q16" i="9" s="1"/>
  <c r="F15" i="9"/>
  <c r="F16" i="9" s="1"/>
  <c r="J14" i="9" l="1"/>
  <c r="J15" i="9" s="1"/>
  <c r="J16" i="9" s="1"/>
  <c r="K13" i="9"/>
  <c r="K14" i="9" l="1"/>
  <c r="K15" i="9" s="1"/>
  <c r="K16" i="9" s="1"/>
  <c r="L13" i="9"/>
  <c r="M13" i="9" l="1"/>
  <c r="L14" i="9"/>
  <c r="L15" i="9" s="1"/>
  <c r="L16" i="9" s="1"/>
  <c r="M14" i="9" l="1"/>
  <c r="M15" i="9" s="1"/>
  <c r="M16" i="9" s="1"/>
  <c r="N13" i="9"/>
  <c r="N14" i="9" l="1"/>
  <c r="N15" i="9" s="1"/>
  <c r="N16" i="9" s="1"/>
  <c r="O13" i="9"/>
  <c r="O14" i="9" l="1"/>
  <c r="O15" i="9" s="1"/>
  <c r="O16" i="9" s="1"/>
  <c r="P13" i="9"/>
  <c r="P14" i="9" l="1"/>
  <c r="P15" i="9" s="1"/>
  <c r="P16" i="9" s="1"/>
  <c r="Q13" i="9"/>
  <c r="R13" i="9" s="1"/>
  <c r="R14" i="9" l="1"/>
  <c r="R15" i="9" s="1"/>
  <c r="R16" i="9" s="1"/>
  <c r="S13" i="9"/>
  <c r="S14" i="9" l="1"/>
  <c r="S15" i="9" s="1"/>
  <c r="S16" i="9" s="1"/>
  <c r="T13" i="9"/>
  <c r="U13" i="9" l="1"/>
  <c r="T14" i="9"/>
  <c r="T15" i="9" s="1"/>
  <c r="T16" i="9" s="1"/>
  <c r="V13" i="9" l="1"/>
  <c r="U14" i="9"/>
  <c r="U15" i="9" s="1"/>
  <c r="U16" i="9" s="1"/>
  <c r="V14" i="9" l="1"/>
  <c r="V15" i="9" s="1"/>
  <c r="V16" i="9" s="1"/>
  <c r="W13" i="9"/>
  <c r="W14" i="9" l="1"/>
  <c r="W15" i="9" s="1"/>
  <c r="W16" i="9" s="1"/>
  <c r="X13" i="9"/>
  <c r="Y13" i="9" l="1"/>
  <c r="X14" i="9"/>
  <c r="X15" i="9" s="1"/>
  <c r="X16" i="9" s="1"/>
  <c r="Y14" i="9" l="1"/>
  <c r="Y15" i="9" s="1"/>
  <c r="Y16" i="9" s="1"/>
  <c r="Z13" i="9"/>
  <c r="AA14" i="9" l="1"/>
  <c r="AA15" i="9" s="1"/>
  <c r="AA16" i="9" s="1"/>
  <c r="Z14" i="9"/>
  <c r="Z15" i="9" s="1"/>
  <c r="Z16" i="9" s="1"/>
  <c r="E17" i="9" s="1"/>
</calcChain>
</file>

<file path=xl/sharedStrings.xml><?xml version="1.0" encoding="utf-8"?>
<sst xmlns="http://schemas.openxmlformats.org/spreadsheetml/2006/main" count="8097" uniqueCount="365">
  <si>
    <t>작업 날짜</t>
    <phoneticPr fontId="3" type="noConversion"/>
  </si>
  <si>
    <t>작성자</t>
  </si>
  <si>
    <t>업체 담당자</t>
    <phoneticPr fontId="3" type="noConversion"/>
  </si>
  <si>
    <t>Maker</t>
  </si>
  <si>
    <t>장비명</t>
  </si>
  <si>
    <t>작업 시작일</t>
    <phoneticPr fontId="3" type="noConversion"/>
  </si>
  <si>
    <t>PROJECT CODE</t>
    <phoneticPr fontId="3" type="noConversion"/>
  </si>
  <si>
    <t>HBS</t>
    <phoneticPr fontId="3" type="noConversion"/>
  </si>
  <si>
    <t>구분</t>
    <phoneticPr fontId="3" type="noConversion"/>
  </si>
  <si>
    <t>Project 진척도</t>
    <phoneticPr fontId="3" type="noConversion"/>
  </si>
  <si>
    <t>작업자</t>
    <phoneticPr fontId="3" type="noConversion"/>
  </si>
  <si>
    <t>Site</t>
  </si>
  <si>
    <t xml:space="preserve">진척율 </t>
    <phoneticPr fontId="3" type="noConversion"/>
  </si>
  <si>
    <t>비고</t>
    <phoneticPr fontId="3" type="noConversion"/>
  </si>
  <si>
    <t>일정</t>
    <phoneticPr fontId="3" type="noConversion"/>
  </si>
  <si>
    <t>반입</t>
    <phoneticPr fontId="3" type="noConversion"/>
  </si>
  <si>
    <t>장비 Leveling</t>
    <phoneticPr fontId="3" type="noConversion"/>
  </si>
  <si>
    <t>전장 연결</t>
    <phoneticPr fontId="3" type="noConversion"/>
  </si>
  <si>
    <t>상/하류
도킹</t>
    <phoneticPr fontId="3" type="noConversion"/>
  </si>
  <si>
    <t>전기, 공압 Hook Up</t>
    <phoneticPr fontId="3" type="noConversion"/>
  </si>
  <si>
    <t>전기, 공압 Turn On</t>
    <phoneticPr fontId="3" type="noConversion"/>
  </si>
  <si>
    <t>Isolator Leveling</t>
    <phoneticPr fontId="3" type="noConversion"/>
  </si>
  <si>
    <t>Motion 점검</t>
    <phoneticPr fontId="3" type="noConversion"/>
  </si>
  <si>
    <t>I/O Check</t>
    <phoneticPr fontId="3" type="noConversion"/>
  </si>
  <si>
    <t>Vision Check</t>
    <phoneticPr fontId="3" type="noConversion"/>
  </si>
  <si>
    <t>S/W Initial</t>
    <phoneticPr fontId="3" type="noConversion"/>
  </si>
  <si>
    <t>Leak Test</t>
    <phoneticPr fontId="3" type="noConversion"/>
  </si>
  <si>
    <t>Sequence Test</t>
    <phoneticPr fontId="3" type="noConversion"/>
  </si>
  <si>
    <t>Sample Plate Leveling</t>
    <phoneticPr fontId="3" type="noConversion"/>
  </si>
  <si>
    <t>Glass Align</t>
    <phoneticPr fontId="3" type="noConversion"/>
  </si>
  <si>
    <t>Vision Align &amp; Setting</t>
    <phoneticPr fontId="3" type="noConversion"/>
  </si>
  <si>
    <t>Loader Teaching</t>
    <phoneticPr fontId="3" type="noConversion"/>
  </si>
  <si>
    <t>CIM Test
Unit &amp; Interface</t>
    <phoneticPr fontId="3" type="noConversion"/>
  </si>
  <si>
    <t>CIM Test
Interlock</t>
    <phoneticPr fontId="3" type="noConversion"/>
  </si>
  <si>
    <t>Full Sequence Test</t>
    <phoneticPr fontId="3" type="noConversion"/>
  </si>
  <si>
    <t>SRM 측정</t>
    <phoneticPr fontId="3" type="noConversion"/>
  </si>
  <si>
    <t>양산대응</t>
    <phoneticPr fontId="3" type="noConversion"/>
  </si>
  <si>
    <t>총 진척율</t>
    <phoneticPr fontId="3" type="noConversion"/>
  </si>
  <si>
    <t>적용여부</t>
    <phoneticPr fontId="3" type="noConversion"/>
  </si>
  <si>
    <t>O</t>
  </si>
  <si>
    <t>계획</t>
    <phoneticPr fontId="3" type="noConversion"/>
  </si>
  <si>
    <t>소요일</t>
    <phoneticPr fontId="3" type="noConversion"/>
  </si>
  <si>
    <t>작업기간</t>
    <phoneticPr fontId="3" type="noConversion"/>
  </si>
  <si>
    <t>배분율</t>
    <phoneticPr fontId="3" type="noConversion"/>
  </si>
  <si>
    <t>진행률</t>
    <phoneticPr fontId="3" type="noConversion"/>
  </si>
  <si>
    <t>실적</t>
    <phoneticPr fontId="3" type="noConversion"/>
  </si>
  <si>
    <t>금일 작업 세부 사항</t>
    <phoneticPr fontId="3" type="noConversion"/>
  </si>
  <si>
    <t>전장</t>
    <phoneticPr fontId="3" type="noConversion"/>
  </si>
  <si>
    <t>제어/SW</t>
    <phoneticPr fontId="3" type="noConversion"/>
  </si>
  <si>
    <r>
      <rPr>
        <sz val="12"/>
        <color theme="1"/>
        <rFont val="맑은 고딕"/>
        <family val="3"/>
        <charset val="129"/>
      </rPr>
      <t xml:space="preserve">• </t>
    </r>
    <r>
      <rPr>
        <sz val="12"/>
        <color theme="1"/>
        <rFont val="맑은 고딕"/>
        <family val="3"/>
        <charset val="129"/>
        <scheme val="minor"/>
      </rPr>
      <t>이슈</t>
    </r>
    <phoneticPr fontId="3" type="noConversion"/>
  </si>
  <si>
    <t>양산적용</t>
    <phoneticPr fontId="3" type="noConversion"/>
  </si>
  <si>
    <t>X</t>
  </si>
  <si>
    <t>O</t>
    <phoneticPr fontId="3" type="noConversion"/>
  </si>
  <si>
    <t>Set-Up</t>
    <phoneticPr fontId="3" type="noConversion"/>
  </si>
  <si>
    <t>SDC A3</t>
    <phoneticPr fontId="3" type="noConversion"/>
  </si>
  <si>
    <t>• HBS 인원
생산: 박찬우 팀장 (07:00~18:00)
       한동천 프로 (07:00~18:00)
       곽현섭 프로 (07:00~18:00)
       최상윤 프로 (07:00~18:00)
       이창민 프로 (07:00~18:00)
     서문경갑 프로 (07:00~18:00)
• 외주업체
업체명: 원팀
정호림 (07:00~18:00)
조영호 (07:00~18:00)
박민기 (07:00~18:00)
*클리닝 팀 :성우테크 3명
 (07:00~18:00)</t>
    <phoneticPr fontId="3" type="noConversion"/>
  </si>
  <si>
    <t>이동훈 프로</t>
    <phoneticPr fontId="3" type="noConversion"/>
  </si>
  <si>
    <t xml:space="preserve">SDC A3 HMI 분판 Cell 검사기 </t>
    <phoneticPr fontId="3" type="noConversion"/>
  </si>
  <si>
    <t>SDC A3 HMI 분판 Cell 검사기</t>
    <phoneticPr fontId="3" type="noConversion"/>
  </si>
  <si>
    <t>HMI</t>
    <phoneticPr fontId="3" type="noConversion"/>
  </si>
  <si>
    <t>이 창민</t>
    <phoneticPr fontId="3" type="noConversion"/>
  </si>
  <si>
    <t xml:space="preserve">
[작업내용]
1. 1차 프레임 레벨링 진행완료
 - 좌/우 10 앞뒤 10
2. 축 고정 브라켓 제거 완료
 - X,Y 및 전 축 고정브라켓 제거 완료
3. PACC Docking 진행완료
 - EQ&lt;&gt;PACC Docking 진행완료
 - PACC 높이 149mm 조절 완료
4. 1번 프로파일 &lt;&gt; 2번 프로파일 Docking 완료
 - 1번 프로파일 높이 200mm 조절완료
 - 2번 프로파일 높이 200mm 조절 완료
 - 슬라이딩 페이퍼 이용하여 결합 완료
5. 전장박스 및 모션박스 , PC박스 정위치 안착 및 앙카작업 진행 완료
 - 정위치 후 Hook-Up 전 앙카 작업완료
 </t>
    <phoneticPr fontId="3" type="noConversion"/>
  </si>
  <si>
    <t xml:space="preserve">• HBS 인원
생산: 박찬우 팀장 (09:00~18:00)
       한동천 프로 (09:00~18:00)
       곽현섭 프로 (09:00~18:00)
       최상윤 프로 (09:00~18:00)
       이창민 프로 (09:00~18:00)
     서문경갑 프로 (09:00~18:00)
• 외주업체
업체명: 원팀
정호림 (09:00~18:00)
조영호 (09:00~18:00)
박민기 (09:00~18:00)
박병연 (09:00~18:00)
윤동규 (14:00~18:00)
김영준 (14:00~18:00) 
</t>
    <phoneticPr fontId="3" type="noConversion"/>
  </si>
  <si>
    <r>
      <rPr>
        <sz val="12"/>
        <color theme="1"/>
        <rFont val="맑은 고딕"/>
        <family val="3"/>
        <charset val="129"/>
      </rPr>
      <t xml:space="preserve">• </t>
    </r>
    <r>
      <rPr>
        <sz val="12"/>
        <color theme="1"/>
        <rFont val="맑은 고딕"/>
        <family val="3"/>
        <charset val="129"/>
        <scheme val="minor"/>
      </rPr>
      <t>이슈</t>
    </r>
    <phoneticPr fontId="3" type="noConversion"/>
  </si>
  <si>
    <t xml:space="preserve">
[작업내용]
1. 설비 반입 진행 완료.
 - 설비 반입 클리닝 진행 완료.
 - 1번 Profile 정위치 가 안착 완료.
   ㄱ. 전도방지 브라켓 해체 완료.
 - Main 설비 반입 진행 완료
   ㄱ. EQ Centering 및 안착 완료
   ㄴ. 1차 레벨링 진행완료(좌/우 10 앞뒤 10)
      * 재진대 컨디션으로 인하여 명일 재 확인 예정
 - PACC 반입 및 정위치 가안착 진행완료
   ㄱ. 1차 레벨링 진행 후 Docking 예정
 - 2 번 Profile 정위치 가 안착 완료. 
    * Main EQ 정위치 안착 및 PACC Docking 후 Profile 결합 예정.
 - 전장박스 및 PC 박스 정위치 안착 완료
 </t>
    <phoneticPr fontId="3" type="noConversion"/>
  </si>
  <si>
    <t>제어/SW</t>
    <phoneticPr fontId="3" type="noConversion"/>
  </si>
  <si>
    <t>전장</t>
    <phoneticPr fontId="3" type="noConversion"/>
  </si>
  <si>
    <t>Set-Up</t>
    <phoneticPr fontId="3" type="noConversion"/>
  </si>
  <si>
    <t>금일 작업 세부 사항</t>
    <phoneticPr fontId="3" type="noConversion"/>
  </si>
  <si>
    <t>실적</t>
    <phoneticPr fontId="3" type="noConversion"/>
  </si>
  <si>
    <t>진행률</t>
    <phoneticPr fontId="3" type="noConversion"/>
  </si>
  <si>
    <t>배분율</t>
    <phoneticPr fontId="3" type="noConversion"/>
  </si>
  <si>
    <t>작업기간</t>
    <phoneticPr fontId="3" type="noConversion"/>
  </si>
  <si>
    <t>소요일</t>
    <phoneticPr fontId="3" type="noConversion"/>
  </si>
  <si>
    <t>계획</t>
    <phoneticPr fontId="3" type="noConversion"/>
  </si>
  <si>
    <t>O</t>
    <phoneticPr fontId="3" type="noConversion"/>
  </si>
  <si>
    <t>SDC A3</t>
    <phoneticPr fontId="3" type="noConversion"/>
  </si>
  <si>
    <t>총 진척율</t>
    <phoneticPr fontId="3" type="noConversion"/>
  </si>
  <si>
    <t>Isolator Leveling</t>
    <phoneticPr fontId="3" type="noConversion"/>
  </si>
  <si>
    <t>전기, 공압 Turn On</t>
    <phoneticPr fontId="3" type="noConversion"/>
  </si>
  <si>
    <t>전장 연결</t>
    <phoneticPr fontId="3" type="noConversion"/>
  </si>
  <si>
    <t>비고</t>
    <phoneticPr fontId="3" type="noConversion"/>
  </si>
  <si>
    <t>작업 날짜</t>
    <phoneticPr fontId="3" type="noConversion"/>
  </si>
  <si>
    <t xml:space="preserve">• HBS 인원
생산: 박찬우 팀장 (09:00~14:00)
       한동천 프로 (09:00~18:00)
       곽현섭 프로 (09:00~14:00)
       오희돈 프로 (09:00~18:00)
       이창민 프로 (09:00~18:00)
     서문경갑 프로 (09:00~18:00)
       강규서 프로 (09:00~18:00)
• 외주업체
업체명: 원팀
김태종 (09:00~18:00)
조영호 (09:00~18:00)
박민기 (09:00~18:00)
박병연 (09:00~18:00)
윤동규 (14:00~18:00)
김영준 (14:00~18:00) 
</t>
    <phoneticPr fontId="3" type="noConversion"/>
  </si>
  <si>
    <t xml:space="preserve">
[작업내용]
1. 설비 케이블 포설 진행완료
 - EQ&lt;&gt;전장 모션박스 연결 완료
 - EQ&lt;&gt; 전장박스 연결완료
 - 전장박스&lt;&gt;EQ 모션박스 연결완료
 - 전장박스&lt;&gt;EQ&lt;&gt;PC박스 연결완료
2. 공압연결 완료
 - 프로파일 1번 &lt;&gt; EQ &lt;&gt; 프로파일 2번 연결완료
3. 프로파일 레벨링 완료
 - Door 위치 및 인터락 키 위치 확인
4. 프로파일 연결부 차폐 설치 진행중
 - 케이블포설로 진행 공간이 협소하여 명일 재 설치 예정
5. UT Hook-UP 진행완료
</t>
    <phoneticPr fontId="3" type="noConversion"/>
  </si>
  <si>
    <t xml:space="preserve">• HBS 인원
생산: 한동천 프로 (09:00~18:00)
       오희돈 프로 (14:00~18:00)
• 외주업체
업체명: 원팀
김태종 (09:00~18:00)
조영호 (09:00~18:00)
박민기 (09:00~18:00)
박병연 (09:00~18:00)
윤동규 (09:00~12:00)
김영준 (09:00~12:00) 
</t>
    <phoneticPr fontId="3" type="noConversion"/>
  </si>
  <si>
    <t xml:space="preserve">
[작업내용]
1. 정리 미흡한 케이블 재정리
2. RP층에서 올라오는 SDC Lan 케이블 배선이 전장 박스 아래 타공 그레이팅으로 나오지 못해 PC 박스 쪽 그레이팅 타공 그레이팅으로 교체
3. PWR, 유틸 Turn on 일정 확인 중
</t>
    <phoneticPr fontId="3" type="noConversion"/>
  </si>
  <si>
    <t xml:space="preserve">SDC A3 HMI 분판 Cell 검사기 </t>
  </si>
  <si>
    <t>작업 날짜</t>
  </si>
  <si>
    <t>업체 담당자</t>
  </si>
  <si>
    <t>이 창민</t>
  </si>
  <si>
    <t>이동훈 프로</t>
  </si>
  <si>
    <t>작업 시작일</t>
  </si>
  <si>
    <t>PROJECT CODE</t>
  </si>
  <si>
    <t>양산적용</t>
  </si>
  <si>
    <t>HBS</t>
  </si>
  <si>
    <t>SDC A3 HMI 분판 Cell 검사기</t>
  </si>
  <si>
    <t>구분</t>
  </si>
  <si>
    <t>Project 진척도</t>
  </si>
  <si>
    <t>작업자</t>
  </si>
  <si>
    <t xml:space="preserve">진척율 </t>
  </si>
  <si>
    <t xml:space="preserve">• HBS 인원
생산: 한동천 프로 (09:00~18:00)
       곽현섭 프로 (09:00~18:00)
       최상윤 프로 (14:00~18:00)
       오희돈 프로 (09:00~18:00)
      서문경갑 프로 (09:00~18:00)
• 외주업체
업체명: 원팀
김태종 (09:00~18:00)
조영호 (09:00~18:00)
박민기 (09:00~18:00)
박병연 (09:00~18:00)
윤동규 (14:00~18:00)
김영준 (14:00~18:00) 
</t>
  </si>
  <si>
    <t>비고</t>
  </si>
  <si>
    <t>일정</t>
  </si>
  <si>
    <t>반입</t>
  </si>
  <si>
    <t>장비 Leveling</t>
  </si>
  <si>
    <t>전장 연결</t>
  </si>
  <si>
    <t>상/하류
도킹</t>
  </si>
  <si>
    <t>전기, 공압 Hook Up</t>
  </si>
  <si>
    <t>전기, 공압 Turn On</t>
  </si>
  <si>
    <t>Isolator Leveling</t>
  </si>
  <si>
    <t>Motion 점검</t>
  </si>
  <si>
    <t>I/O Check</t>
  </si>
  <si>
    <t>Vision Check</t>
  </si>
  <si>
    <t>S/W Initial</t>
  </si>
  <si>
    <t>Leak Test</t>
  </si>
  <si>
    <t>Sequence Test</t>
  </si>
  <si>
    <t>Sample Plate Leveling</t>
  </si>
  <si>
    <t>Glass Align</t>
  </si>
  <si>
    <t>Vision Align &amp; Setting</t>
  </si>
  <si>
    <t>Loader Teaching</t>
  </si>
  <si>
    <t>CIM Test
Unit &amp; Interface</t>
  </si>
  <si>
    <t>CIM Test
Interlock</t>
  </si>
  <si>
    <t>Full Sequence Test</t>
  </si>
  <si>
    <t>SRM 측정</t>
  </si>
  <si>
    <t>양산대응</t>
  </si>
  <si>
    <t>총 진척율</t>
  </si>
  <si>
    <t>SDC A3</t>
  </si>
  <si>
    <t>HMI</t>
  </si>
  <si>
    <t>적용여부</t>
  </si>
  <si>
    <t>계획</t>
  </si>
  <si>
    <t>소요일</t>
  </si>
  <si>
    <t>작업기간</t>
  </si>
  <si>
    <t>0</t>
  </si>
  <si>
    <t>배분율</t>
  </si>
  <si>
    <t>진행률</t>
  </si>
  <si>
    <t>실적</t>
  </si>
  <si>
    <t>금일 작업 세부 사항</t>
  </si>
  <si>
    <t>Set-Up</t>
  </si>
  <si>
    <t>전장</t>
  </si>
  <si>
    <t>제어/SW</t>
  </si>
  <si>
    <t xml:space="preserve">
[작업내용]
1. 프로파일 연결부 차폐 설치 완료
 - 측면부, 상부 차폐 기구물 설치 완료
2. 폐자재 반출 준비 완료
 - 차주 중 반출 예정
3. 공압 Turn On, 전기 Hook up, Turn On 대기 중
</t>
  </si>
  <si>
    <r>
      <rPr>
        <sz val="12"/>
        <color theme="1"/>
        <rFont val="맑은 고딕"/>
        <family val="3"/>
        <charset val="129"/>
      </rPr>
      <t xml:space="preserve">• </t>
    </r>
    <r>
      <rPr>
        <sz val="12"/>
        <color theme="1"/>
        <rFont val="맑은 고딕"/>
        <family val="3"/>
        <charset val="129"/>
        <scheme val="minor"/>
      </rPr>
      <t>이슈</t>
    </r>
  </si>
  <si>
    <t xml:space="preserve">• HBS 인원
생산: 박찬우 팀장 (09:00~18:00)
     서문경갑 프로 (09:00~18:00)
       한동천 프로 (09:00~10:00)
       오희돈 프로 (09:00~12:00)
      최상윤 프로  (09:00~10:00)
      이창민 프로  (09:00~10:00)
• 외주업체
업체명: 원팀
김태종 (09:00~10:00)
조영호 (09:00~10:00)
박민기 (09:00~10:00)
박병연 (09:00~10:00)
윤동규 (09:00~10:00)
김영준 (09:00~10:00) 
업체명: ATL
서경석 차장 (09:00~14:00)
박진수 과장 (09:00~14:00)
</t>
    <phoneticPr fontId="3" type="noConversion"/>
  </si>
  <si>
    <t xml:space="preserve">
[작업내용]
1. ATL 기구물 수정 작업
 - Probe 축 기구물 교체 작업진행
  ㄱ. Probe 이동영역에 니플이 간섭되어 2번 3번 4번 축 니플 기구물 
     교체 작업진행
  ㄴ. 니플이 장착되는 부분을 2.5mm 카웉터 적용하여 양쪽 5mm 
      간섭회피 구간 확보 완료
  ㄷ. MC Off 후 이동하여 간섭체크 완료
* 전기 Hook- Up 대기중
* 전기 Turn- On 대기중 
* 유틸 Turn- On 대기중
</t>
    <phoneticPr fontId="3" type="noConversion"/>
  </si>
  <si>
    <t xml:space="preserve">
[작업내용]
1. 전기 Hook-UP 진행완료
2. 전기/UT Turn on 완료
3. 전장박스 CP 전체 ON 완료
4. PC박스 CP 전체 ON 완료
5. PC PWR ON 완료
6. 공압 게이지 Setting 진행완료
  - 0.500 Setting 진행완료
7. 아이솔레이터 레벨링 진행완료
  - 수포레벨러 좌/우 0 앞/뒤 0 Setting완료
  - 아이솔레이터 컨트롤러 고정완료
8. EFU ON 완료
  - 풍속 900으로 임시 Setting 완료
   (청정퀄 시 현업엔지니어 Setting)
8. EQ MC ON 완료
9. 설비 I/O check 진행중 
 - Door 관련 I/O 체크완료
 - 온도 관련 I/O 체크완료
 - EMO 관련 I/O 체크완료 
 - 아이솔레이터 관련 I/O 체크완료
 - 개구부 관련 I/O 체크완료
</t>
    <phoneticPr fontId="3" type="noConversion"/>
  </si>
  <si>
    <t xml:space="preserve">• HBS 인원
생산: 한동천 프로 (09:00~18:00)
       오희돈 프로 (12:00~18:00)
       최상윤 프로  (09:00~18:00)
       이창민 프로  (09:00~18:00)
       곽현섭 프로  (09:00~18:00)
• 외주업체
업체명: 원팀
김태종 (09:00~10:00)
조영호 (09:00~10:00)
박민기 (09:00~10:00)
박병연 (09:00~10:00)
윤동규 (09:00~18:00)
김영준 (09:00~18:00) 
</t>
    <phoneticPr fontId="3" type="noConversion"/>
  </si>
  <si>
    <t xml:space="preserve">• HBS 인원
생산: 박찬우팀장  (09:00~18:00)
    서문경갑 프로  (09:00~18:00)
       한동천 프로  (09:00~18:00)
       오희돈 프로  (12:00~18:00)
       최상윤 프로  (09:00~18:00)
       이창민 프로  (09:00~18:00)
       곽현섭 프로  (09:00~18:00)
전장설계 : 최승현 프로    
             (09:00~18:00)
• 외주업체
업체명: 원팀
김태종 (09:00~10:00)
조영호 (09:00~10:00)
박민기 (09:00~10:00)
박병연 (09:00~10:00)
윤동규 (09:00~18:00)
김영준 (09:00~18:00) 
</t>
    <phoneticPr fontId="3" type="noConversion"/>
  </si>
  <si>
    <t>S/W Initial</t>
    <phoneticPr fontId="3" type="noConversion"/>
  </si>
  <si>
    <t xml:space="preserve">
[작업내용]
1. 설비 I/O check 진행완료 
 - PACC 관련 I/O 체크완료
 - Probe 모듈 관련 I/O 체크완료
 - Align 관련 I/O 체크완료 
 - 셔터 관련 I/O 체크완료
   ㄱ. 속도 Setting 완료
2. 설비 포지션 센서 확인완료
3. 대차 티칭완료
4. 설비 각 축 구동Test 진행완료
5. 설비 Initial 완료
</t>
    <phoneticPr fontId="3" type="noConversion"/>
  </si>
  <si>
    <t xml:space="preserve">1. SW 디버깅 진행중 30%
  - EQ 프로그램 수정
  - MCC 추가
  - 인터락 추가 </t>
    <phoneticPr fontId="3" type="noConversion"/>
  </si>
  <si>
    <t>A</t>
    <phoneticPr fontId="3" type="noConversion"/>
  </si>
  <si>
    <t xml:space="preserve">
[작업내용]
1. 시아각 CCD 카메라 교체 진행
 - 기존 CCD 미러 노출로 인하여 파티클이 쌓여 신규 모델로 교체완료
2. PLC Sequence Test 진행완료
 - 레디-&gt;메져 모드 변경 완료
 - 메져-&gt;레디 모드 변경 완료
 - 레디-&gt; 로드/언로드 변경완료
3. 글라스 직각도 확인완료
4. Align 카메라 Setting 완료
</t>
    <phoneticPr fontId="3" type="noConversion"/>
  </si>
  <si>
    <t xml:space="preserve">• HBS 인원
생산: 박찬우팀장  (14:00~20:00)
    서문경갑 프로  (09:00~20:00)
       한동천 프로  (09:00~20:00)
       오희돈 프로  (14:00-20:00)
SW : 윤주승 (09:00~20:00)
       서인배 (09:00~20:00)
       최상희 (09:00~20:00)
       정창영 (09:00~20:00)
• 외주업체
업체명: 원팀
윤동규 (09:00~20:00)
김영준 (14:00~20:00) 
</t>
    <phoneticPr fontId="3" type="noConversion"/>
  </si>
  <si>
    <t xml:space="preserve">SDC A3 HMI 분판 Cell 검사기 </t>
    <phoneticPr fontId="3" type="noConversion"/>
  </si>
  <si>
    <t>업체 담당자</t>
    <phoneticPr fontId="3" type="noConversion"/>
  </si>
  <si>
    <t>이 창민</t>
    <phoneticPr fontId="3" type="noConversion"/>
  </si>
  <si>
    <t>이동훈 프로</t>
    <phoneticPr fontId="3" type="noConversion"/>
  </si>
  <si>
    <t>작업 시작일</t>
    <phoneticPr fontId="3" type="noConversion"/>
  </si>
  <si>
    <t>PROJECT CODE</t>
    <phoneticPr fontId="3" type="noConversion"/>
  </si>
  <si>
    <t>양산적용</t>
    <phoneticPr fontId="3" type="noConversion"/>
  </si>
  <si>
    <t>HBS</t>
    <phoneticPr fontId="3" type="noConversion"/>
  </si>
  <si>
    <t>SDC A3 HMI 분판 Cell 검사기</t>
    <phoneticPr fontId="3" type="noConversion"/>
  </si>
  <si>
    <t>구분</t>
    <phoneticPr fontId="3" type="noConversion"/>
  </si>
  <si>
    <t>Project 진척도</t>
    <phoneticPr fontId="3" type="noConversion"/>
  </si>
  <si>
    <t>작업자</t>
    <phoneticPr fontId="3" type="noConversion"/>
  </si>
  <si>
    <t xml:space="preserve">진척율 </t>
    <phoneticPr fontId="3" type="noConversion"/>
  </si>
  <si>
    <t>비고</t>
    <phoneticPr fontId="3" type="noConversion"/>
  </si>
  <si>
    <t>일정</t>
    <phoneticPr fontId="3" type="noConversion"/>
  </si>
  <si>
    <t>반입</t>
    <phoneticPr fontId="3" type="noConversion"/>
  </si>
  <si>
    <t>장비 Leveling</t>
    <phoneticPr fontId="3" type="noConversion"/>
  </si>
  <si>
    <t>전장 연결</t>
    <phoneticPr fontId="3" type="noConversion"/>
  </si>
  <si>
    <t>상/하류
도킹</t>
    <phoneticPr fontId="3" type="noConversion"/>
  </si>
  <si>
    <t>전기, 공압 Hook Up</t>
    <phoneticPr fontId="3" type="noConversion"/>
  </si>
  <si>
    <t>전기, 공압 Turn On</t>
    <phoneticPr fontId="3" type="noConversion"/>
  </si>
  <si>
    <t>Isolator Leveling</t>
    <phoneticPr fontId="3" type="noConversion"/>
  </si>
  <si>
    <t>Motion 점검</t>
    <phoneticPr fontId="3" type="noConversion"/>
  </si>
  <si>
    <t>I/O Check</t>
    <phoneticPr fontId="3" type="noConversion"/>
  </si>
  <si>
    <t>Vision Check</t>
    <phoneticPr fontId="3" type="noConversion"/>
  </si>
  <si>
    <t>S/W Initial</t>
    <phoneticPr fontId="3" type="noConversion"/>
  </si>
  <si>
    <t>Leak Test</t>
    <phoneticPr fontId="3" type="noConversion"/>
  </si>
  <si>
    <t>Sequence Test</t>
    <phoneticPr fontId="3" type="noConversion"/>
  </si>
  <si>
    <t>Sequence Test</t>
    <phoneticPr fontId="3" type="noConversion"/>
  </si>
  <si>
    <t>Sample Plate Leveling</t>
    <phoneticPr fontId="3" type="noConversion"/>
  </si>
  <si>
    <t>Glass Align</t>
    <phoneticPr fontId="3" type="noConversion"/>
  </si>
  <si>
    <t>Vision Align &amp; Setting</t>
    <phoneticPr fontId="3" type="noConversion"/>
  </si>
  <si>
    <t>Loader Teaching</t>
    <phoneticPr fontId="3" type="noConversion"/>
  </si>
  <si>
    <t>CIM Test
Unit &amp; Interface</t>
    <phoneticPr fontId="3" type="noConversion"/>
  </si>
  <si>
    <t>CIM Test
Interlock</t>
    <phoneticPr fontId="3" type="noConversion"/>
  </si>
  <si>
    <t>Full Sequence Test</t>
    <phoneticPr fontId="3" type="noConversion"/>
  </si>
  <si>
    <t>SRM 측정</t>
    <phoneticPr fontId="3" type="noConversion"/>
  </si>
  <si>
    <t>양산대응</t>
    <phoneticPr fontId="3" type="noConversion"/>
  </si>
  <si>
    <t>총 진척율</t>
    <phoneticPr fontId="3" type="noConversion"/>
  </si>
  <si>
    <t>SDC A3</t>
    <phoneticPr fontId="3" type="noConversion"/>
  </si>
  <si>
    <t>HMI</t>
    <phoneticPr fontId="3" type="noConversion"/>
  </si>
  <si>
    <t>적용여부</t>
    <phoneticPr fontId="3" type="noConversion"/>
  </si>
  <si>
    <t>O</t>
    <phoneticPr fontId="3" type="noConversion"/>
  </si>
  <si>
    <t>계획</t>
    <phoneticPr fontId="3" type="noConversion"/>
  </si>
  <si>
    <t>소요일</t>
    <phoneticPr fontId="3" type="noConversion"/>
  </si>
  <si>
    <t>작업기간</t>
    <phoneticPr fontId="3" type="noConversion"/>
  </si>
  <si>
    <t>배분율</t>
    <phoneticPr fontId="3" type="noConversion"/>
  </si>
  <si>
    <t>진행률</t>
    <phoneticPr fontId="3" type="noConversion"/>
  </si>
  <si>
    <t>실적</t>
    <phoneticPr fontId="3" type="noConversion"/>
  </si>
  <si>
    <t>금일 작업 세부 사항</t>
    <phoneticPr fontId="3" type="noConversion"/>
  </si>
  <si>
    <t>A</t>
    <phoneticPr fontId="3" type="noConversion"/>
  </si>
  <si>
    <t>전장</t>
    <phoneticPr fontId="3" type="noConversion"/>
  </si>
  <si>
    <t>제어/SW</t>
    <phoneticPr fontId="3" type="noConversion"/>
  </si>
  <si>
    <t xml:space="preserve">
[작업내용]
1. SACC 및 내부 Probe 티칭 및 시퀀스 테스트
 - 더미 프로브 SACC 장착 진행완료
 - 로딩/ 언로딩 위치 Setting 진행
 - ACG 위치 Get 위치 Setting 진행
2. ACG&lt;&gt;Probe Module 장/탈착 Test 진행완료
 - ACG&lt;&gt;1~5번 TEST 진행시 이상없음 확인완료
</t>
    <phoneticPr fontId="3" type="noConversion"/>
  </si>
  <si>
    <t xml:space="preserve">1. SW 디버깅 진행중 50%
  - EQ 프로그램 수정
  - MCC 추가
  - 인터락 추가 </t>
    <phoneticPr fontId="3" type="noConversion"/>
  </si>
  <si>
    <r>
      <rPr>
        <sz val="12"/>
        <color theme="1"/>
        <rFont val="맑은 고딕"/>
        <family val="3"/>
        <charset val="129"/>
      </rPr>
      <t xml:space="preserve">• </t>
    </r>
    <r>
      <rPr>
        <sz val="12"/>
        <color theme="1"/>
        <rFont val="맑은 고딕"/>
        <family val="3"/>
        <charset val="129"/>
        <scheme val="minor"/>
      </rPr>
      <t xml:space="preserve">이슈 :  </t>
    </r>
    <r>
      <rPr>
        <sz val="12"/>
        <color rgb="FFFF0000"/>
        <rFont val="맑은 고딕"/>
        <family val="3"/>
        <charset val="129"/>
        <scheme val="minor"/>
      </rPr>
      <t>PG 컨트롤러 1개 통신불량확인되어 금일 반출하여 명일 업체 전달 후 5/6일 입고하여 설치예정</t>
    </r>
    <phoneticPr fontId="3" type="noConversion"/>
  </si>
  <si>
    <t xml:space="preserve">1. SW 디버깅 진행중 55%
  - EQ 프로그램 수정
  - MCC 추가
  - 인터락 추가 </t>
    <phoneticPr fontId="3" type="noConversion"/>
  </si>
  <si>
    <r>
      <rPr>
        <sz val="12"/>
        <color theme="1"/>
        <rFont val="맑은 고딕"/>
        <family val="3"/>
        <charset val="129"/>
      </rPr>
      <t xml:space="preserve">• </t>
    </r>
    <r>
      <rPr>
        <sz val="12"/>
        <color theme="1"/>
        <rFont val="맑은 고딕"/>
        <family val="3"/>
        <charset val="129"/>
        <scheme val="minor"/>
      </rPr>
      <t xml:space="preserve">이슈 :  </t>
    </r>
    <phoneticPr fontId="3" type="noConversion"/>
  </si>
  <si>
    <t xml:space="preserve">
[작업내용]
1.S/P 측면 커버 설치 진행
 - 케이블 간섭으로 인하여 제거 후 재 설치 진행
 - 간섭되는 커버 제작 요청
2. 신규 Probe 투입전 사전체크 진행
 - 글라스 Align 마크 확인 작업완료
3. PG 컨트롤러 반입및 설치완료 
 - PG 컨트롤러 불량으로 업체 전달하여 수리 완료
 - 케이블 포설 후 통신확인 시 이상없음 확인완료
 </t>
    <phoneticPr fontId="3" type="noConversion"/>
  </si>
  <si>
    <t xml:space="preserve">• HBS 인원
생산: 서문경갑 프로 (09:00~18:00)
       한동천 프로  (09:00~18:00)
       이창민 프로  (09:00~18:00)
SW :정창영 (09:00~18:00)
</t>
    <phoneticPr fontId="3" type="noConversion"/>
  </si>
  <si>
    <t xml:space="preserve">• HBS 인원
생산: 박찬우팀장  (09:00~18:00)
    서문경갑 프로  (09:00~18:00)
       한동천 프로  (09:00~12:00)
SW : 윤주승 (09:00~18:00)
       서인배 (09:00~18:00)
       정창영 (09:00~18:00)
• 외주업체
업체명: 원팀
윤동규 (14:00~18:00)
</t>
    <phoneticPr fontId="3" type="noConversion"/>
  </si>
  <si>
    <t xml:space="preserve">
[작업내용]
1. Aging Probe 장착 후 세팅 작업
   - 점등 테스트 및 위치 확인 작업 완료 
2. Aging Test 진행 완료
   - 1개 Probe 로 1~4 Stick Manual 동작 테스트 완료
3. Glass Unloading 위치 세팅 및 Lift Pin Module Setting 작업 완료</t>
    <phoneticPr fontId="3" type="noConversion"/>
  </si>
  <si>
    <t xml:space="preserve">1. SW 디버깅 진행중 60%
  - EQ 프로그램 수정
</t>
    <phoneticPr fontId="3" type="noConversion"/>
  </si>
  <si>
    <t xml:space="preserve">• HBS 인원
생산: 
        박찬우  팀장  (09:00~18:00)
      서문경갑 프로  (09:00~18:00)
         한동천 프로  (09:00~18:00)
         최상윤 프로  (09:00~18:00)
SW : 윤주승 (09:00~18:00)
       서인배 (09:00~18:00)
       정창영 (09:00~18:00)
       최상희 (09:00~18:00)
</t>
    <phoneticPr fontId="3" type="noConversion"/>
  </si>
  <si>
    <t xml:space="preserve">1. SW 디버깅 진행중 60%
  - EQ 프로그램 수정
</t>
    <phoneticPr fontId="3" type="noConversion"/>
  </si>
  <si>
    <t xml:space="preserve">• HBS 인원
생산: 
        박찬우  팀장  (09:00~12:00)
      서문경갑 프로  (09:00~18:00)
         한동천 프로  (09:00~18:00)
         최상윤 프로  (09:00~18:00)
         이창민 프로  (09:00~18:00)
SW : 윤주승 (09:00~18:00)
       정창영 (09:00~18:00)
원팀  윤동규  (09:00~12:00)
</t>
    <phoneticPr fontId="3" type="noConversion"/>
  </si>
  <si>
    <t xml:space="preserve">
[작업내용]
1. Dummy 프로브 장착 후 시퀀스 테스트 진행
   가. WAD, 화질 시퀀스 확인 완료
   나. 명일 프로브 반입 후 재확인 예정
2. 케이블 보호 커버, 개구부 실링, 하부 스커트 반입 및 설치 작업
3. HOT Line Cable, NETG Cable, 이오나이저 Cable 설치 작업</t>
    <phoneticPr fontId="3" type="noConversion"/>
  </si>
  <si>
    <t xml:space="preserve">
[작업내용]
1. 프로브 반입 및 장비 설치 작업
2. 측정 시퀀스 테스트 진행 중
3. 케이블 커버 설치 작업 완료
4. LAN Cable 포설 및 연결 작업 완료
   가. IP 신청시 필요 정보 작성 완료(CIM PC)
5. Probe 모듈 볼트 교체 진행
   가. SUS 볼트 사용시 난반사로 인하여 레이던트 볼트 교체진행완료</t>
    <phoneticPr fontId="3" type="noConversion"/>
  </si>
  <si>
    <t xml:space="preserve">• HBS 인원
생산: 
        박찬우  팀장  (09:00~18:00)
      서문경갑 프로  (09:00~18:00)
         한동천 프로  (09:00~18:00)
         최상윤 프로  (09:00~18:00)
         이창민 프로  (09:00~18:00)
SW : 윤주승 (09:00~18:00)
       정창영 (09:00~18:00)
       최상희 (09:00~18:00)
       서인배 (12:00~18:00)
</t>
    <phoneticPr fontId="3" type="noConversion"/>
  </si>
  <si>
    <t xml:space="preserve">• HBS 인원
생산: 
         한동천 프로  (09:00~18:00)
         최상윤 프로  (15:00~18:00)
         이창민 프로  (09:00~18:00)
SW : 윤주승 (09:00~18:00)
       정창영 (09:00~18:00)
        서인배 (12:00~18:00)
</t>
    <phoneticPr fontId="3" type="noConversion"/>
  </si>
  <si>
    <t xml:space="preserve">
[작업내용]
1. 측정 검증 작업 진행 중
   가. 면휘도계 내재화 프로그램 점검 및 세팅
   나. 측정 시퀀스 확인 및 Z 축 세팅 작업
2. 하부 스커트 설치 작업
</t>
    <phoneticPr fontId="3" type="noConversion"/>
  </si>
  <si>
    <t xml:space="preserve">1. SW 디버깅 진행중 60%
  - EQ 프로그램 수정
  - 임시 IP Setting 진행중
</t>
    <phoneticPr fontId="3" type="noConversion"/>
  </si>
  <si>
    <t xml:space="preserve">1. SW 디버깅 진행중 60%
  - EQ 프로그램 수정
  - 설비 자산등록 진행중
</t>
    <phoneticPr fontId="3" type="noConversion"/>
  </si>
  <si>
    <t xml:space="preserve">• HBS 인원
생산: 
         한동천 프로  (09:00~18:00)
         이창민 프로  (09:00~18:00)
SW : 윤주승 (09:00~18:00)
       정창영 (09:00~18:00)
       서인배 (09:00~12:00)
       최상희 (09:00~18:00)
</t>
    <phoneticPr fontId="3" type="noConversion"/>
  </si>
  <si>
    <t xml:space="preserve">
[작업내용]
1. 측정 검증 작업 진행 중
  가. 면휘도계 측정 작업
  나. PG 레시피 세팅
  다. 측정 검증 작업 중 Lift Pin 과 Probe 충돌 발생
    1) Probe 6개, Lift Pin 2 개 파손 확인
    2) 5/18 Probe Block 4개 FAB 내 교체 예정, Lift Pin 긴급 제작 요청 완료
2. Aging Probe 반입 및 확인 작업
   가. 일부 Probe 이상 확인 되어 재세팅 위해 반출 작업 완료
3. Index NETG 케이블 연결 및 세팅 확인 작업 완료
4. 설비 측면부 덕트 교체 완료
5. 하부스커트 전면부 설치완료
</t>
    <phoneticPr fontId="3" type="noConversion"/>
  </si>
  <si>
    <t xml:space="preserve">• HBS 인원
생산: 
         한동천 프로  (09:00~18:00)
         이창민 프로  (09:00~18:00)
      서문경갑 프로  (09:00~18:00)
SW : 윤주승 (09:00~18:00)
       정창영 (09:00~18:00)
       서인배 (09:00~18:00)
       최상희 (09:00~18:00)
</t>
    <phoneticPr fontId="3" type="noConversion"/>
  </si>
  <si>
    <t xml:space="preserve">
[작업내용]
1. Robot Teaching 작업 완료
2. Probe 교체 및 검증 작업
   가. 파손 6개소 모두 교체 하였으나 Contact 위치 조정 시 4개 정상 점등 확인
3. WAD Program 확인 작업
   가. Program 비정상 종료 점검 및 조치 완료
   나. Manual 측정 가능하나, HBS 운영 프로그램 연결 관련 통신 프로토콜 확인 필요(Remote 측정)
4. 측정 검증 작업 진행 중
5. 화질 내재화 Program 점검 완료
</t>
    <phoneticPr fontId="3" type="noConversion"/>
  </si>
  <si>
    <t xml:space="preserve">
[작업내용]
1. 측정 검증 및 시퀀스 확인 작업 진행 중
   가. 화질, 시야각, 면휘도, WAD 측정 시퀀스 정상 측정 및 동작 확인 완료
2. ROBOT Hot Line 통신 확인 작업
   가. Robot Side 배선 점검 필요(세스텍), 명일 추가 확인 예정
3. 정전기 모듈 정상 통신 및 데이타 확인 완료
4. 측정 Probe 명일 오전 반출 예정
</t>
    <phoneticPr fontId="3" type="noConversion"/>
  </si>
  <si>
    <t xml:space="preserve">• HBS 인원
생산:  박찬우 팀장  (09:00- 12:00)
         한동천 프로  (14:00~18:00)
         이창민 프로  (14:00~18:00)
         최상윤 프로  (09:00- 12:00)  
SW : 윤주승 (09:00~18:00)
       정창영 (09:00~18:00)
       서인배 (09:00~18:00)
       최상희 (09:00~18:00)
</t>
    <phoneticPr fontId="3" type="noConversion"/>
  </si>
  <si>
    <t xml:space="preserve">1. SW 디버깅 진행중 65%
  - EQ 프로그램 수정
  - 측정 검증 Test 중
</t>
    <phoneticPr fontId="3" type="noConversion"/>
  </si>
  <si>
    <t xml:space="preserve">• HBS 인원
생산:  한동천 프로  (09:00~18:00)
         이창민 프로  (09:00~18:00)
SW : 윤주승 (09:00~18:00)
       정창영 (09:00~18:00)
       서인배 (09:00~18:00)
       최상희 (09:00~18:00)
</t>
    <phoneticPr fontId="3" type="noConversion"/>
  </si>
  <si>
    <t xml:space="preserve">
[작업내용]
1. 측정 Probe 반출 및 Aging Probe 반입 작업
2. Aging Probe 장착 및 세팅 작업 진행
3. ROBOT HOT Line 통신 확인 작업
4. 반송 테스트 레시피 작성 및 테스트 작업
   가. 반송 테스트 5/23~</t>
    <phoneticPr fontId="3" type="noConversion"/>
  </si>
  <si>
    <t xml:space="preserve">• HBS 인원
생산:  한동천 프로  (09:00~18:00)
         이창민 프로  (09:00~18:00)
SW : 윤주승 (09:00~18:00)
       정창영 (09:00~18:00)
       최상희 (09:00~18:00)
</t>
    <phoneticPr fontId="3" type="noConversion"/>
  </si>
  <si>
    <t xml:space="preserve">1. SW 디버깅 진행중 68%
  - EQ 프로그램 수정
  - 데이터 저장경로 설정
  - 온라인/오프라인 모드 상태전환 Test
</t>
    <phoneticPr fontId="3" type="noConversion"/>
  </si>
  <si>
    <t xml:space="preserve">
[작업내용]
1. 신규 AGING PROBE 장착 후 점검 작업
2. AGING 세팅 및 검증 작업
3. 청정 퀄 대비 작업
     가. 5/25 14시 진행</t>
    <phoneticPr fontId="3" type="noConversion"/>
  </si>
  <si>
    <t xml:space="preserve">1. SW 디버깅 진행중 68%
  - EQ 프로그램 수정
</t>
    <phoneticPr fontId="3" type="noConversion"/>
  </si>
  <si>
    <t xml:space="preserve">• HBS 인원
생산:  한동천 프로  (09:00~18:00)
         이창민 프로  (09:00~18:00)
         최상윤 프로  (09:00~18:00)
SW : 윤주승 (09:00~18:00)
       정창영 (09:00~18:00)
       최상희 (09:00~18:00)
</t>
    <phoneticPr fontId="3" type="noConversion"/>
  </si>
  <si>
    <t xml:space="preserve">. </t>
    <phoneticPr fontId="3" type="noConversion"/>
  </si>
  <si>
    <t xml:space="preserve">
[작업내용]
1. Probe Contact 위치 확인
 -Probe 패드&lt;&gt; Probe 핀 위치 확인작업완료
2. 청정퀄 진행완료
 - 내부 기류 0.25 Setting 완료
3. 신규 Glass 입고 후 설비 투입완료
 - 측정위치 및 WAD 위치 Setting 완료
</t>
    <phoneticPr fontId="3" type="noConversion"/>
  </si>
  <si>
    <t xml:space="preserve">• HBS 인원
생산:  한동천 프로  (09:00~18:00)
         이창민 프로  (09:00~18:00)
SW : 윤주승 (09:00~18:00)
       정창영 (09:00~18:00)
       최상희 (09:00~18:00)
</t>
    <phoneticPr fontId="3" type="noConversion"/>
  </si>
  <si>
    <t xml:space="preserve">
[작업내용]
1. Probe Contact 위치 재확인
 - Aging Probe 3,4번
 -Probe 패드&lt;&gt; Probe 핀 위치 확인작업완료
2. 8개통 퀄 대비 클리닝 진행중
 - 내/외부 설비 클리닝 진행중</t>
    <phoneticPr fontId="3" type="noConversion"/>
  </si>
  <si>
    <t xml:space="preserve">1. SW 디버깅 진행중 70%
  - EQ 프로그램 수정
</t>
    <phoneticPr fontId="3" type="noConversion"/>
  </si>
  <si>
    <t xml:space="preserve">• HBS 인원
생산:  한동천 프로  (09:00~18:00)
         이창민 프로  (09:00~18:00)
SW : 윤주승 (09:00~12:00)
       정창영 (09:00~12:00)
       최상희 (09:00~12:00)
</t>
    <phoneticPr fontId="3" type="noConversion"/>
  </si>
  <si>
    <t xml:space="preserve">
[작업내용]
1. 8계통 Qual 진행 완료
   가. 지적 사항 처리 작업 진행 중
2. SW 업데이트 프로그램 적용
   가. APD 관련 작업
3. 제전 관련 ESD 모니터링 작업</t>
    <phoneticPr fontId="3" type="noConversion"/>
  </si>
  <si>
    <t xml:space="preserve">• HBS 인원
생산: 박찬우 팀장  (09:00~18:00)
        한동천 프로  (09:00~18:00)
         이창민 프로  (09:00~18:00)
SW : 윤주승 (14:00~18:00)
       정창영 (14:00~18:00)
       최상희 (14:00~18:00)
</t>
    <phoneticPr fontId="3" type="noConversion"/>
  </si>
  <si>
    <t xml:space="preserve">
[작업내용]
1. 면휘도 측정데이터 확인작업
 - 면휘도 레시피 수정및 Setting완료
2. probe Align 카메라 정밀 Setting 완료
3. 8개통 퀄 대비 클리닝 진행중
 - 내/외부 설비 클리닝 진행중</t>
    <phoneticPr fontId="3" type="noConversion"/>
  </si>
  <si>
    <t xml:space="preserve">• HBS 인원
생산:  한동천 프로  (09:00~18:00)
         이창민 프로  (09:00~18:00)
SW : 윤주승 (14:00~18:00)
       정창영 (14:00~18:00)
       최상희 (14:00~18:00)
</t>
    <phoneticPr fontId="3" type="noConversion"/>
  </si>
  <si>
    <t xml:space="preserve">
[작업내용]
1. CIM Test 진행중
 가. EQ &lt;&gt; CIM 프로그램 통신확인 및 연결완료
 나. Normal 상태 Test 진행완료
  - 로드/ 언로드 상태 전환 Tset 완료
  - 글라스 IN/OUT Test 완료
 다. Abnormal 상태 및 EX Change 모드 는 인덱스(세스텍) 준비 미흡으로 
     추후 준비후 Test 예정</t>
    <phoneticPr fontId="3" type="noConversion"/>
  </si>
  <si>
    <t xml:space="preserve">
[작업내용]
1. CIM Test 진행완료
 - Abnormal 상태 진행완료
 - Exchange 진행완료
2. 신규 기판 측정진행
 - 면휘도 측정진행
3. Probe 카드 반출대비 준비작업진행완료</t>
    <phoneticPr fontId="3" type="noConversion"/>
  </si>
  <si>
    <t xml:space="preserve">• HBS 인원
생산:  한동천 프로  (09:00~18:00)
        이창민 프로  (09:00~18:00)
SW : 윤주승 (09:00~18:00)
       정창영 (09:00~18:00)
       최상희 (09:00~18:00)
</t>
    <phoneticPr fontId="3" type="noConversion"/>
  </si>
  <si>
    <t xml:space="preserve">
[작업내용]
1. 8계통 퀄 지적사항 조치 중
 - Probe 모듈 커플링 아이마킹완료
 - 셔터 구리스 주입구 위치변경완료
 - 아이솔레이터 공압라인 위치 변경 및 정리완료
2. Probe 카드 반출 진행
 - 개선품적용으로 반출 진행
3. 셔터 업/다운 속도조절완료
4. 설비 앙카반입 및 설치진행
</t>
    <phoneticPr fontId="3" type="noConversion"/>
  </si>
  <si>
    <t xml:space="preserve"> </t>
    <phoneticPr fontId="3" type="noConversion"/>
  </si>
  <si>
    <t xml:space="preserve">
[작업내용]
1. LCR 미터 기구물 설치완료
 - 기구물 간섭으로 인한 위치 변경 완료
 - 통신확인 진행중
2. 면휘도 PC LAN모듈 보드 추가작업진행완료
3. 정전기센서 모듈 교체작업진행중
  - 정전기센서 교체 개선품 장착 중 브라켓 두께 불량으로 재 제작요청</t>
    <phoneticPr fontId="3" type="noConversion"/>
  </si>
  <si>
    <t xml:space="preserve">1. SW 디버깅 진행중 70%
  - EQ 프로그램 수정
  - Full Sequence Test 진행중
</t>
    <phoneticPr fontId="3" type="noConversion"/>
  </si>
  <si>
    <t xml:space="preserve">• HBS 인원
생산: 오희돈 프로 (09:00~14:00)
        이창민 프로  (09:00~14:00)
SW : 정창영 (09:00~14:00)
</t>
    <phoneticPr fontId="3" type="noConversion"/>
  </si>
  <si>
    <t xml:space="preserve">
[작업내용]
1. Probe 카드 반입
 - Aging 1 2 3 4 반입 완료
 - Probe Contact 위치 확인
 - Aging Probe 2/4 번 Probe 패드 위치 틀어짐 확인하여 반출 하여 수정
   진행
2. X-ray 이오나이져 기구물 반입 및 설치완료
3. 정전기 센서 BKT 반입 후 설치진행중
 - 브라켓 기구물 설계값 확인 중
 </t>
    <phoneticPr fontId="3" type="noConversion"/>
  </si>
  <si>
    <t xml:space="preserve">• HBS 인원
생산: 박찬우팀장 (14:00~18:00)
        오희돈 프로 (14:00~18:00)
        이창민 프로 (09:00~18:00)
        최상윤 프로 (09:00~18:00)
전장 최승현 프로 (09:00~18:00)
SW : 윤주승 (09:00~18:00)
       정창영 (09:00~18:00)
       최상희 (09:00~18:00)
</t>
    <phoneticPr fontId="3" type="noConversion"/>
  </si>
  <si>
    <t xml:space="preserve">• HBS 인원
생산: 이창민 프로  (09:00~23:00)
      서문경갑 프로 (09:00~23:00)
        최상윤 프로  (09:00~18:00)
SW : 윤주승 (09:00~23:00)
       정창영 (09:00~23:00)
       최상희 (09:00~18:00)
</t>
    <phoneticPr fontId="3" type="noConversion"/>
  </si>
  <si>
    <t xml:space="preserve">
[작업내용]
1. Probe 카드 반입
 - Aging  2 4 반입 완료
 - Probe Contact 위치 확인완료
2. Aging Probe 점등 진행중
 - Aging Probe 점등 불량확인
 - Aging Probe 1 2 3 4 반출 진행
 - PG 신호기 반출 진행
 - 금일 프로이천 Test 후 명일 반입예정
2. X-ray 이오나이져 재전 Test 진행중
 - 속도 조절
 - 공압 조절
 - 각도 조절
3. 정전기 센서 설치완료
 - S/P 홀 간섭 TEST 진행완료
 </t>
    <phoneticPr fontId="3" type="noConversion"/>
  </si>
  <si>
    <t xml:space="preserve">• HBS 인원
생산: 이창민 프로 (09:00~18:00)
SW : 윤주승 (09:00~18:00)
       정창영 (09:00~18:00)
       최상희 (09:00~18:00)
</t>
    <phoneticPr fontId="3" type="noConversion"/>
  </si>
  <si>
    <t>PCB</t>
    <phoneticPr fontId="3" type="noConversion"/>
  </si>
  <si>
    <t xml:space="preserve">
[작업내용]
1. Aging probe 점등 test 완료 
  - 부분적으로 셀에서 점등이 꺼지는현상발생 하여 글라스 교체 진행 후 
    Test 진행  
  - 4개 Cell 중 2개 점등완료
  - 1개 Cell 블럭 높이 조절 진행하여 점등완료
  - 1개 Cell 위치 조절하여 점등완료
2. 시야각 측정시 난반사 현상 임시조치완료
  - Probe Contact 후 점등 시 Probe 블록 반사 확인
  - 필름 케이블 위에 스웨이드 스티커 부착 
  - PCB 면 흑색 으로 임시도색 진행
  - SDC 검증 요청
3. Full Sequence Test 진행완료
 - 분판Cell 전체 측정 후 반송Test 진행
 - 로봇문제로인하여 반송은 차주 월요일 재 진행예정 
4. 방사선 퀄진행완료
 - 5kv 이오나이져 사양으로 퀄진행완료
 - 추후 10Kv 진행시 재 진행얘정이나 특이사항없이 통과예정</t>
    <phoneticPr fontId="3" type="noConversion"/>
  </si>
  <si>
    <t xml:space="preserve">• HBS 인원
생산:박찬우 팀장 (10:00~22:00) 
       이창민 프로 (09:00~22:00)
SW : 윤주승 (09:00~22:00)
       정창영 (09:00~22:00)
       최상희 (09:00~22:00)
</t>
    <phoneticPr fontId="3" type="noConversion"/>
  </si>
  <si>
    <t xml:space="preserve">1. SW 디버깅 진행중 80%
  - EQ 프로그램 수정
  - Full Sequence Test </t>
    <phoneticPr fontId="3" type="noConversion"/>
  </si>
  <si>
    <t xml:space="preserve">• HBS 인원
생산:한동천 프로(09:00~22:00) 
       이창민 프로(09:00~18:00)
       오희돈 프로(14:00~22:00)
SW : 윤주승 (09:00~22:00)
       정창영 (09:00~22:00)
       최상희 (09:00~22:00)
</t>
    <phoneticPr fontId="3" type="noConversion"/>
  </si>
  <si>
    <t xml:space="preserve">
[작업내용]
1. X-Ray 이오나이져 시퀀스 변경
 - 로봇 반송중 글라스 적재시 글라스 파손 발생 
 - 5kv 이오나이져 변경 후 Pin Up 상태 전환시 글라스 틀어짐 발생
 - fixture IN 상태에서 12mm UP 으로 이동후 77mm 상승 시퀀스 변경
 - 반송 Test 시 문제없음 확인
2. 반송 Test 진행
 - 시퀀스 변경 후 6회 물류 반송 Test 완료
3. 글라스 측정 대응
 - 각 옵션 별 측정 후 반송 진행 </t>
    <phoneticPr fontId="3" type="noConversion"/>
  </si>
  <si>
    <t xml:space="preserve">• HBS 인원
생산:한동천 프로(09:00~18:00) 
       이창민 프로(09:00~18:00)
       최상윤 프로(09:00~18:00)
SW : 윤주승 (09:00~18:00)
       정창영 (09:00~18:00)
       최상희 (09:00~18:00)
</t>
    <phoneticPr fontId="3" type="noConversion"/>
  </si>
  <si>
    <t xml:space="preserve">
[작업내용]
1. 측정검증작업
 - 지난 물류 3회 Test 시 문제점 검증작업 진행
 - 시야각 하단부 가림 현상 발생하여 SDC_검사설비팀 입실하여
   카메라 각도 조절하여 조치완료
 - 화질측정시 불량다발현상으로 프로브 미컨택 현상의심
   ㄱ. 측정 프로브 매뉴얼 측정시 점등 상태확인
   ㄴ. 각 글라스 별 불량라인현상확인
   ㄷ. 현재 측정 진행하여 현상 파악 예정
2. 정전기 퀄 진행완료
  - 리프트 핀, 스테이지, Fixture, 정전기 값 확인완료
  - 리프트 핀 동작시 글라스 위 정전기 값확인(0.100) 확인완료
3. 물류Run 진행중
  - 금일 물류Run 30매 진행중
  - 측정 중 문제사항 검증예정 
</t>
    <phoneticPr fontId="3" type="noConversion"/>
  </si>
  <si>
    <t xml:space="preserve">1. SW 디버깅 진행중 95%
  - EQ 프로그램 수정
</t>
    <phoneticPr fontId="3" type="noConversion"/>
  </si>
  <si>
    <t xml:space="preserve">• HBS 인원
생산:한동천 프로(09:00~18:00) 
       이창민 프로(09:00~18:00)
SW : 정창영 (09:00~18:00)
       최상희 (09:00~18:00)
</t>
    <phoneticPr fontId="3" type="noConversion"/>
  </si>
  <si>
    <t xml:space="preserve">
[작업내용]
1. 측정검증작업
 - 화질 프로그램 파라미터 Setting 
 - 금일 물류Run 30매 진행완료
 - 측정 중 문제사항 검증예정_SDC  </t>
    <phoneticPr fontId="3" type="noConversion"/>
  </si>
  <si>
    <t xml:space="preserve">• HBS 인원
생산:한동천 프로(09:00~18:00) 
       이창민 프로(09:00~18:00)
SW : 윤주승 (09:00~18:00)
       정창영 (09:00~18:00)
       최상희 (09:00~18:00)
</t>
    <phoneticPr fontId="3" type="noConversion"/>
  </si>
  <si>
    <t xml:space="preserve">
[작업내용]
1. 측정검증작업
 - 화질 프로그램 파라미터 Setting 
 - 금일 물류Run 23매 진행완료
 - 측정 중 문제사항 검증예정_SDC  </t>
    <phoneticPr fontId="3" type="noConversion"/>
  </si>
  <si>
    <t xml:space="preserve">• HBS 인원
생산:한동천 프로(09:00~22:00) 
       이창민 프로(09:00~22:00)
       오희돈 프로(09:00~18:00)
SW : 윤주승 (09:00~22:00)
       정창영 (09:00~22:00)
       최상희 (09:00~22:00)
</t>
    <phoneticPr fontId="3" type="noConversion"/>
  </si>
  <si>
    <t xml:space="preserve">
[작업내용]
1. 화질 프로그램 파라미터 Setting 진행
2. 측정 검증 물류 Run test 진행_46매</t>
    <phoneticPr fontId="3" type="noConversion"/>
  </si>
  <si>
    <t xml:space="preserve">• HBS 인원
생산:한동천 프로(09:00~18:00) 
       이창민 프로(09:00~18:00)
       오희돈 프로(09:00~18:00)
SW : 윤주승 (09:00~18:00)
       정창영 (09:00~18:00)
       최상희 (09:00~18:00)
</t>
    <phoneticPr fontId="3" type="noConversion"/>
  </si>
  <si>
    <t xml:space="preserve">
[작업내용]
1. 환경안전 퀄 진행 완료(부적합사항 조치시 승인예정)
 - EMS TEST 진행
 - 내부탈출 기능 구현  TEST 진행
 - X-ray 인터락 기능 구현 TEST 진행
 - 셔텨 구동중 에어커튼 감지시 멈춤 TEST 진행
 - 기타 눈관리 및 기구물 점검 진행
</t>
    <phoneticPr fontId="3" type="noConversion"/>
  </si>
  <si>
    <t xml:space="preserve">• HBS 인원
생산:한동천 프로(09:00~18:00) 
       이창민 프로(09:00~18:00)
SW : 윤주승 (09:00~18:00)
       정창영 (09:00~18:00)
       최상희 (09:00~18:00)
</t>
    <phoneticPr fontId="3" type="noConversion"/>
  </si>
  <si>
    <t xml:space="preserve">• HBS 인원
생산:한동천 프로(09:00~18:00) 
       이창민 프로(09:00~18:00)
SW : 정창영 (09:00~18:00)
       최상희 (09:00~18:00)
</t>
    <phoneticPr fontId="3" type="noConversion"/>
  </si>
  <si>
    <t xml:space="preserve">
[작업내용]
1. 물류 Run test 진행
 - 물류 Run test 간 에러 조치 진행
  ㄱ. Probe Align 실패 
  ㄴ. 광량 값 으로 인하여 Probe Pin 위치값 틀어짐 
  ㄷ. 레시피 수정 후 Run test 진행
 - 명일 Run 중 문제사항 확인시 조치예정</t>
    <phoneticPr fontId="3" type="noConversion"/>
  </si>
  <si>
    <t xml:space="preserve">
[작업내용]
1. 물류 Run test 진행
 -작일 Run 중 특이사항없음  
 -차주 월요일에 Run 중 문제사항 확인시 조치예정
2. 환경안전 퀄 조치 진행
 - S-Box 페더락 스위치 교체 완료
</t>
    <phoneticPr fontId="3" type="noConversion"/>
  </si>
  <si>
    <t xml:space="preserve">• HBS 인원
생산:한동천 프로(09:00~18:00) 
       이창민 프로(09:00~18:00)
SW : 정창영 (09:00~18:00)
       윤주승 (09:00~18:00)
</t>
    <phoneticPr fontId="3" type="noConversion"/>
  </si>
  <si>
    <t xml:space="preserve">
[작업내용]
1. 환경안전 퀄 진행 부적합사항 조치
 - 전장박스 눈관리 조치완료
 - SACC 도어 눈관리 조치완료
 - 발판 고정 및 눈관리 조치완료
 - 전장박스 차단기 후면부 커버 설치완료
 - Plc 레더 수정 및 터치스크린 적용 완료
 - 내부공압판넬 모서리 마감 조치완료
 - 메인 전원 감전주의 스티커 부착완료
 - 온도센서 조치 방법 스티커 조치완료
 - 메인 도어 차폐 안전스티커 조치완료
</t>
    <phoneticPr fontId="3" type="noConversion"/>
  </si>
  <si>
    <t xml:space="preserve">
[작업내용]
1. probe 카드 반입 완료
 - Aging 1 2 3 4 반입완료
 - 점등 진행 중
   ㄱ. 부분적으로 셀에서 점등이 꺼지는현상발생
   ㄴ. ODD값 Test 진행예정
2. 시야각 모아래 현상 Setting 진행완료
 - 시야각 측정시 물결모양으로 나오는 현상 발생
 - DeFocus 하여 현상완화 완료
3. 시야각 난반사 확인
 - Probe Contact 후 점등 시 Probe 블록 반사 확인
 - 프로2000 문의 중
4. X-ray 이오나이져 Setting 완료
 - 공압량 0.3으로 수정후 재전 Test 진행
 - 0.085 확인
 - 핀업 속도 2로 변경 후 이오나이져 분사 초 변경 후 0.044 확인완료
 </t>
    <phoneticPr fontId="3" type="noConversion"/>
  </si>
  <si>
    <t xml:space="preserve">
[작업내용]
1.Probe 카드 반입
 - 측정 Probe 반입하여 현장확인완료
 - Probe카드 림바 개조품으로 반입완료
 - 림바 적용으로 카세트에 장착되지않아 추후 개선품으로 수정예정
2. Probe 카드 매뉴얼 장착완료
3. Probe Contact 위치 재확인
 - 측정 Probe 1번 Probe 패드&lt;&gt; Probe 핀 위치 확인작업완료</t>
    <phoneticPr fontId="3" type="noConversion"/>
  </si>
  <si>
    <t xml:space="preserve">
[작업내용]
1. 측정 물류 Run Test 진행중
 - 금일 20매 Test 진행 중
 - 에러 1회 발생
   ㄱ. SDC 엔지니어 화질프로그램 종료로 인한 에러 발생
   ㄴ. 프로그램 재 실행 후 Run 시작
 - 이후 알람 미발생
 - 명일 알람 발생 및 대응 예정</t>
    <phoneticPr fontId="3" type="noConversion"/>
  </si>
  <si>
    <t xml:space="preserve">
[작업내용]
1. 물류 Run test 진행
 - Run 중 화질프로그램 통신불량으로 진행불가
 - SW LOG 확인요청
 - 화질프로그램 재 연결하여 Run 재 진행</t>
    <phoneticPr fontId="3" type="noConversion"/>
  </si>
  <si>
    <t xml:space="preserve">
[작업내용]
1. Cim 퀄 대비 사전작업
 - Sam 데이터 값 확인
 - Cim 프로그램 업데이트 진행완료
2. 물류 Run 중 에러조치
 - 화질프로그램 2번 다운현상 발생
 - SDC 내재화 프로그램 담당자 LOG 확인요청</t>
    <phoneticPr fontId="3" type="noConversion"/>
  </si>
  <si>
    <t xml:space="preserve">
[작업내용]
1. 물류 Run 진행 중
2. CIM HOST 상위단 연결 Test 진행
 - CIM 프로그램 Setting 
 - Host 연결 확인
 - 상위단 통신확인완료</t>
    <phoneticPr fontId="3" type="noConversion"/>
  </si>
  <si>
    <t xml:space="preserve">• HBS 인원
생산:한동천 프로(09:00~18:00) 
       이창민 프로(09:00~18:00)
</t>
    <phoneticPr fontId="3" type="noConversion"/>
  </si>
  <si>
    <t xml:space="preserve">
[작업내용]
1. 화질 모듈 homing fail 점검
 - 설비 이니셜 중 화질모듈 필터1 homing fail
 - 이니셜 진행시 시계방향으로 무한이동 현상발생
 - 피드백 값 0으로 설정후 정상 동작확인
2. ELP 점검진행
 - ELP 내방하여 프로그램및 PG 점검
3. Probe Pin 틀어짐 발생
 - 명일 프로이천 내방하여 스페어 파트 교체 예정</t>
    <phoneticPr fontId="3" type="noConversion"/>
  </si>
  <si>
    <t xml:space="preserve">• HBS 인원
생산:한동천 프로 (09:00~18:00) 
       이창민 프로 (09:00~18:00)
SW   정창영프로 (09:00~18:00)
</t>
    <phoneticPr fontId="3" type="noConversion"/>
  </si>
  <si>
    <t xml:space="preserve">
[작업내용]
1. Probe Pin 교체 완료
 - Probe Pin 교체 진행 후 컨텍하여 점등상태 확인완료
2. 개조 고어케이블 반입 완료
3. 물류 Run 진행중
 - 금일 에러사항 명일 확인하여 조치 예정 </t>
    <phoneticPr fontId="3" type="noConversion"/>
  </si>
  <si>
    <t xml:space="preserve">
[작업내용]
1. 물류 Run 진행중
 - 작일 에러사항 없음확인
 - 금일 에러사항 명일 확인하여 조치 예정 
2. 물류 Run 중 데이터 검증
 - SDC 측 데이터 검증 진행중
 - 명일 레시피 수정하여 재 측정 예정</t>
    <phoneticPr fontId="3" type="noConversion"/>
  </si>
  <si>
    <t xml:space="preserve">
[작업내용]
1. ELP 신호기 교체 진행
 - ELP 신호기 타입 교체 진행하여 물류 Run Test 진행
 - 1,2 cell 신규 신호기 적용
2. ELP 신호기 점검 
 - W,R,G,B 점검</t>
    <phoneticPr fontId="3" type="noConversion"/>
  </si>
  <si>
    <t xml:space="preserve">• HBS 인원
생산:한동천 프로 (09:00~22:00) 
       이창민 프로 (09:00~22:00)
전장 :최승현 프로(09:00~22:00)
설계 김동우 프로 (14:00~18:00)
       박철빈 프로 (14:00~18:00)
외주 원팀  김영준 (09:00~22:00)
               윤동규 (09:00~22:00)
      ATL    서경석 (09:00~22:00)
               최형일 (09:00~22:00)
     씽크론  박성우 (09:00~18:00)
                서석민 (09:00~18:00)
</t>
    <phoneticPr fontId="3" type="noConversion"/>
  </si>
  <si>
    <t xml:space="preserve">
[작업내용]
1. 분판 Cell 개조 진행중
 - 고어케이블 해체 진행
  ㄱ. 고어 ELP 케이블 절단하여 제거 진행
 - 신규 고어케이블 설치 진행중
  ㄱ. 엔시스 고어케이블 포설 완료
  ㄴ. 명일 고정 진행하여 완료 예정
 - ELP 신호기 모듈 제거 완료
 - 29M 카메라 모듈 해체 진행완료
 - 288M 카메라 반입하여 설치 완료
  ㄱ. 카메라 케이블 &lt;&gt; 추가 케이블 타입 달라 젠더 사용 필요하여 명일
        반입하여 Test 진행예정
  - 화질 PC 카메라 보드 추가 완료
 </t>
    <phoneticPr fontId="3" type="noConversion"/>
  </si>
  <si>
    <t xml:space="preserve">• HBS 인원
생산:한동천 프로 (09:00~22:00) 
       이창민 프로 (09:00~22:00)
전장 :최승현 프로(09:00~22:00)
SW : 윤주승 프로(09:00~22:00)
       정찬영 프로(09:00~22:00)
설계 김동우 프로 (14:00~18:00)
       박철빈 프로 (14:00~18:00)
외주 원팀  김영준 (09:00~18:00)
               윤동규 (09:00~18:00)
      ATL    서경석 (09:00~14:00)
               최형일 (09:00~14:00)
     씽크론  박성우 (14:00~18:00)
                서석민 (14:00~18:00)
    프로이쳔 김상문 (14:00~18:00)
                 정다운 (14:00~18:00)
                 정민호 (14:00~18:00)
 엔시스  박재성 외6 (10:00~22:00)
</t>
    <phoneticPr fontId="3" type="noConversion"/>
  </si>
  <si>
    <t xml:space="preserve">
[작업내용]
1. 분판 Cell 개조 진행중
 - 고어케이블 설치완료
 - 엔시스 신호기 반입 및 설치완료
  ㄱ.파워케이블 타입이 달라 엔시스측 확인예정
 - 29M 카메라 모듈 젠더 사용하여 통신 확인
  ㄱ. 그랩 확인 및 통신확인완료
        반입하여 Test 진행예정
 - 프로이천 프로브 반입완료
 - 프로이천 PCB 보드 교체 완료
 - 엔시스 보드 설치하여 PG 케이블 포설 진행중 </t>
    <phoneticPr fontId="3" type="noConversion"/>
  </si>
  <si>
    <t xml:space="preserve">• HBS 인원
생산:한동천 프로 (09:00~22:00) 
       이창민 프로 (09:00~22:00)
SW : 윤주승 프로(09:00~22:00)
       정찬영 프로(09:00~22:00)
설계 김동우 프로 (09:00~12:00)
외주 원팀  김영준 (09:00~12:00)
               윤동규 (09:00~12:00)
     씽크론  박성우 (14:00~18:00)
                서석민 (14:00~18:00)
    프로이쳔 김상문 (09:00~22:00)
                 정다운 (09:00~22:00)
                 정민호 (09:00~22:00)
 엔시스  박재성 외6 (09:00~22:00)
</t>
    <phoneticPr fontId="3" type="noConversion"/>
  </si>
  <si>
    <t xml:space="preserve">
[작업내용]
1. 분판 Cell 개조 진행중
   - BT Model 작일 20매 측정 시 점등 이상 확인 되어 점검 요청
     ㄱ. Probe 정상 컨택 확인(20um 이동 필요한 블록 있음)
     ㄴ. 육안 확인 시 12 CELL 정상 점등 확인
     ㄷ. 20 매 재 측정 
   - MTP 적용 및 PG Recipe 수정 후 재측정 시 화질 프로그램 다운 증상
     으로 점검 요청    
     ㄱ. 화질 측정 패턴 13개중 9번 측정 후 멈춤 현상 확인
     ㄴ. PG Recipe 변경 사항 원복 후 정상 측정 확인
   - 추가 Glass 19매 측정 중 컨택 틀어짐 확인
     ㄱ. Probe Cross Axis 50um 변경 확인
     ㄴ. 원인 파악 필요하나 SDC 요청으로 Recipe 변경 후 측정 진행 중
     ㄷ. Probe Align 시 이상 증상 확인되어 패턴 재 등록 후 재현성
         확인 작업 완료
</t>
    <phoneticPr fontId="3" type="noConversion"/>
  </si>
  <si>
    <t>생산기술</t>
    <phoneticPr fontId="3" type="noConversion"/>
  </si>
  <si>
    <t xml:space="preserve">• HBS 인원
생산:한동천 프로 (09:00~22:00) 
       이창민 프로 (09:00~22:00)
전장 :최승현 프로(09:00~22:00)
SW : 윤주승 프로(09:00~22:00)
       정찬영 프로(09:00~22:00)
설계 김동우 프로 (14:00~18:00)
       박철빈 프로 (14:00~18:00)
외주 원팀  김영준 (09:00~18:00)
               윤동규 (09:00~18:00)
      ATL    서경석 (09:00~14:00)
               최형일 (09:00~14:00)
     씽크론  박성우 (14:00~18:00)
                서석민 (14:00~18:00)
    프로이쳔 김상문 (14:00~18:00)
                 정다운 (14:00~18:00)
                 정민호 (14:00~18:00)
 엔시스  박재성 외6 (10:00~22:00)
</t>
    <phoneticPr fontId="3" type="noConversion"/>
  </si>
  <si>
    <t>• HBS 인원
생산:한동천 프로 (09:00~22:00) 
       이창민 프로 (09:00~22:00)
전장 :최승현 프로(09:00~22:00)
SW : 윤주승 프로(09:00~22:00)
       정찬영 프로(09:00~22:00)
외주 원팀  김영준 (09:00~18:00)
               윤동규 (09:00~18:00)
      ATL    서경석 (09:00~14:00)
               최형일 (09:00~14:00)
     씽크론  박성우 (14:00~18:00)
                서석민 (14:00~18:00)
    프로이쳔 김상문 (14:00~18:00)
                 정다운 (14:00~18:00)
                 정민호 (14:00~18:00)
 엔시스  박재성 외6 (10:00~22:00)</t>
    <phoneticPr fontId="3" type="noConversion"/>
  </si>
  <si>
    <t xml:space="preserve">
[작업내용]
  1. BT3 글라스 레시피 셋팅
    - 글라스 Align CCD 보정(내부 HW 작업으로 고정 위치 변경됨)
    - CAD로 받은 Glass 정보로 좌표 생성 후 레시피 셋팅
    - 글라스 얼라인 후 Connect 위치 이동
   2. 점등 테스트 진행 
     - Ensys 측정 PG로 글라스 Connect  후 점등 진행(4개 CELL 중 3개
        CELL 만 점등 확인-&gt;Probe 점검 후 4개 Cell 점등 확인)
     - Ensys SW와 통신 테스트 진행(레시피 변경, Pattern On/Off 확인)
   3 화상 Grab 확인
     - Camera SW에서 이미지 Grab 확인, 화상 SW 에서 Grab 안됨
     - 삼성 엔지니어가 설정파일 수정 후 Grab 확인</t>
    <phoneticPr fontId="3" type="noConversion"/>
  </si>
  <si>
    <t xml:space="preserve">
[작업내용]
1. 점등 테스트 진행
  - Ensis Aging PG 케이블 연결 후 점등 확인
    (2개 Stick 중 1Stick 전체 점등 X)
  - 케이블 확인 작업 중 MeasProbe Pin 휘어짐 발생
  - 블럭 교체 후 점등 확인 완료
  - Aging PG 점등 명일 확인 예정 
 2. 화질 카메라 티칭 진행
   - 씽크론 업체에서 화질1,2 카메라 티칭 진행 대응
   - X,Y,Z축 티칭 및 Tilt 조절 
   - 이 후 화질 S/W 세부 작업 예정(SDC)
</t>
    <phoneticPr fontId="3" type="noConversion"/>
  </si>
  <si>
    <t xml:space="preserve">  1. SW 수정
 - Aging 명령시 stick 개수에 따라서 Aging PG
   제어하게 수정
 - YY 모델은 Aging PG 4개 사용 BT3 모델은 
   Aging PG 2개 사용</t>
    <phoneticPr fontId="3" type="noConversion"/>
  </si>
  <si>
    <t xml:space="preserve">
[작업내용]
1. 엔시스 레시피 작성
 - BT3 모델 Align 레시피 작성
 - Glass / Probe Align 동작 확인   
2. 개조 관련 특성 측정 대응
  - PG SW 수정 필요하여 위치 셋팅 및 Cycle test 가능하게 레시피 수정
3. 화질 offset 셋팅
  -화질 1번 Head cell 점등후 offaet 셋팅
</t>
    <phoneticPr fontId="3" type="noConversion"/>
  </si>
  <si>
    <t xml:space="preserve">
[작업내용]
1. 개조 관련 특성 측정
 - PG SW 업데이트 후 특성 Cycle Test 진행
 - Cell 12개 측정 확인
 - 화질 측정시 Green 패턴 점등후 진행안됨 삼성 엔지니어가 확인중
2. 화질 offset 셋팅
 - 화질 2번 Head cell 점등후 offset 셋팅
 - 화질 SW Grab 안되는 문제 테스트 DCF 파일 변경후 Grab 확인</t>
    <phoneticPr fontId="3" type="noConversion"/>
  </si>
  <si>
    <t xml:space="preserve">
[작업내용]
1. 화질 측정 대응
 - 화질 1,2 영상 보정(씽크론)
 - 화질 수동,자동 검사 시 측정 안되는 현상 발생
 - 화질 로그 분석 및 측정 대응(SDC)
</t>
    <phoneticPr fontId="3" type="noConversion"/>
  </si>
  <si>
    <t xml:space="preserve">
[작업내용]
1. 개조건 대응
1. Aging PG On시 차단기 트립현상 대응
 - 확인 결과 PG 연결 상태 불량(엔시스)
 - 연결 확인 후 이상없음
2 Probe Gantry 2번 OCP Error 발생 대응
  - Probe Card 미체결 후 점검(엔시스, 프로이천)
3. 화질 및 특성 측정 대응
 - 화질 측정S/W 오류로 인해 SDC 측 점검 중
 - 특성 측정 테스트 완료
 - 특성 Recipe 작성 진행(엔시스)
  </t>
    <phoneticPr fontId="3" type="noConversion"/>
  </si>
  <si>
    <t xml:space="preserve">
[작업내용]
1. 화질 및 특성 측정 대응
 - 화질 측정S/W 오류로 인해 점검 대응
 - 특성 측정 이상없음 
2. 특성 매뉴얼 측정 대응
 - 특성에서 3시간 측정하도록 Recipe 수정
 - Cell 1개 3시간 반복측정 후 다음 Cell 측정 진행 
  - 특성 매뉴얼 검사 시 측정 완료 명령 대기 시간 수정(30000초 -- 30초)
  </t>
    <phoneticPr fontId="3" type="noConversion"/>
  </si>
  <si>
    <t xml:space="preserve">
[작업내용]
1. 특성 평가 물류 Run 진행중
 - 금일 에러사항 명일 확인하여 조치 예정 
2. 물류 Run 중 데이터 검증
 - SDC 측 데이터 검증 진행중
  </t>
    <phoneticPr fontId="3" type="noConversion"/>
  </si>
  <si>
    <t xml:space="preserve">
[작업내용]
1. 특성 평가 물류 Run 진행중
 - 금일 에러사항 명일 확인하여 조치 예정 
2. 물류 Run 중 데이터 검증
 - SDC 측 데이터 검증 진행중
  </t>
    <phoneticPr fontId="3" type="noConversion"/>
  </si>
  <si>
    <t xml:space="preserve">
[작업내용]
1.Aging 툴어짐 관련 점검
  - 특성 / 화질 각 Align CCD 위치 틀어져 있어 HW Align 진행
  - Align 레시피 수정
  - Algin Test 시 Contact 정상 동작 확인
2. 측정 시퀀스 테스트
  - 특성 + 화질 측정 레시피 셋팅 후 시퀀스 확인 
  </t>
    <phoneticPr fontId="3" type="noConversion"/>
  </si>
  <si>
    <t xml:space="preserve">
[작업내용]
1.PG AGING 관련 대응
 - PG AGING 기능 테스트 진행(With ENSIS)
 - AGING 레시피 변경 시 응답 지연 발생 수정 요청
 - AGING Probe 점등 확인
 - AGING 명령 전송하였으나 AGING 안됨, ENSIS SW 수정 필요하여 다시 테스트 진행 예정
 - AGING Probe Align Recipe 셋팅
2.측정 시퀀스 확인
 - YY 글라스로 특성, 화질, 시야각, 면계측 측정 진행
 - 시야각 Head 1번 정상 측정 안되고 패턴 변경 중 멈추는 문제 발생하여 
    (SDC로 확인 요청)
 - 특성, 화질 만 측정 진행하기로 함
 - 화질 측정 이슈 있어 P2k에서 새로 가져온 측정 Probe로 교체 후 
    Online 으로 측정 사이클 진행
</t>
    <phoneticPr fontId="3" type="noConversion"/>
  </si>
  <si>
    <t xml:space="preserve">
[作業내용]
1. Probe Contact 틀어짐 관련 대응
  - Probe Contact 좌우로 틀어짐 발생하여 확인
  - Contact 좌표 이동시 Probe Y축으로 Glass Align 보정 값 미적용, 
    Align 좌표 수정
  - Align 보정값 로그에 기록 추가
  - Contact 좌표 이동시 Probe Y축 0로 이동하로록 수정
    (0 이동시 Glass 및 Probe Align 보정값 적용)
  - BT / YY 모델 글라스 Algin Test 시 Contact 정상 동작 확인
2. 화질 측정 대응
  - YY 글라스 반송 후 PG 모델 셋팅, 점등 및 Cell 매칭 진행 
  - 화질 CCD 위치 조정(씽크론) 대응, 화질 위치 이동
  - 화질 측정 관련 SDC 에서 진행
</t>
    <phoneticPr fontId="3" type="noConversion"/>
  </si>
  <si>
    <t xml:space="preserve">
[작업내용]
1. 화질 측정 대응
  - 화질 이미지에 세로 줄 그어 있는 단차 발생
  - 프로이천, SDC 측 협의하여 화질 이미지 개선 작업 진행 중
2. CIM 프로그램 다운 증상 대응
  - 확인 결과 Online 측정 시 글라스 반복측정 하여 발생한 오류
  - Online 측정 시 1번만 측정하도록 수정 
</t>
    <phoneticPr fontId="3" type="noConversion"/>
  </si>
  <si>
    <t xml:space="preserve">
[작업내용]
1. Aging 테스트 진행
  - Ensis측 PG 펌웨어 업데이트 진행
  - Aging 진행 시 OCP 에러 발생
  - 명일에 재 테스트 진행 예정 
2. 화질, 특성 측정 진행 대응
  - Probe Card 교체 후 측정 진행
  - 특성 측정 시 특성S/W, PG S/W 간 통신 에러로 인해 결과값 도출 안됨
  - Ensis측 통신 시퀀스 수정 진행 완료
  - Glass 측정 1매 진행   </t>
    <phoneticPr fontId="3" type="noConversion"/>
  </si>
  <si>
    <t xml:space="preserve">
[작업내용]
1. Aging 테스트 진행 
 - Ensis 업체에서 PG 레시피 확인 시 기존 ELP 레시피와 차이점 없음 확인 
 - 외부에서 프로2천과 Aging 미동작 점검 진행
2. SACC Exchange Interface 테스트
   - Probe Exchange 동작 확인
   - 레시피 연동하여 Probe loading / Exchange 동작 확인
   - 측정 전 레시피에 있는 Probe 이름과 확인하여 장착된 Probe 이름과 다르면 교체 시퀀스 진행</t>
    <phoneticPr fontId="3" type="noConversion"/>
  </si>
  <si>
    <t xml:space="preserve">• HBS 인원
생산: 이창민 프로
SW : 윤주승 프로
       정찬영 프로
외주 원팀  김영준 
       엔시스  박재성 외6 
</t>
    <phoneticPr fontId="3" type="noConversion"/>
  </si>
  <si>
    <t xml:space="preserve">
[작업내용]
  1. 화상 인접셀 평가 진행
    - 인접셀 평가 진행 중 화상 카메라 세팅 문제로 명일로 작업 연기
  2. 물류 Run Test 진행
    - 특성,Aging 설정하여 test 진행</t>
    <phoneticPr fontId="3" type="noConversion"/>
  </si>
  <si>
    <t xml:space="preserve">
[작업내용]
 1.BT3 Model Glass 변경
   - 화상 카메라 BT3 Model 기준으로 재티칭
   - 이 후 23매 화질,특성검사 Run 진행
 2. YY Model Glass 변경
   -  BT3 측정 끝난 후 YY Model 기준으로 화상카메라 재티칭
 3. Auto Probe Card Change 테스트 진행 완료
   - Online 측정 진행 시 YY, BT3 Recipe에 저장되어 있는 ProbeCard로 
     Auto Exchange 테스트 완료
4. 인접셀 평가 추가 진행
  - 화상카메라 R,G,B, Black 경우에서 인접셀 평가 진행  </t>
    <phoneticPr fontId="3" type="noConversion"/>
  </si>
  <si>
    <t xml:space="preserve">
[작업내용]
  1. 화상 인접셀 평가 진행
   - 2,5Cell 기준으로 양옆 Cell 점등하여 인접셀 평가 진행
   - White, Gray065, Gray001 3가지 경우에서 테스트 진행 완료
   - 이미지 5장씩 저장하여 SDC측 전달  
</t>
    <phoneticPr fontId="3" type="noConversion"/>
  </si>
  <si>
    <t xml:space="preserve">
[작업내용]
 1. Aging Test 진행 대응
   - YY Model 측정 및 Aging PG 점등 상태 및 컨택 상태 확인 진행 완료
     (프로이천, Ensis)
 2. YY_A_004 Card 반출 후 YY_A_009 Card로 교체 진행 후 점등 상태 
    확인 완료
   - Aging Recipe 수정 및 신호기 S/W 디버깅 진행(Ensis)
   - 불량 Cell 없을 경우 Aging 정상 진행 하지만 불량 Cell 발생 시 OCP
     에러 발생하여 Aging 정상 진행 못함
   - 해당 문제 Ensis 측 원인 분석 중 
 3. SACC 동작 진행 에러 대응
    - Unloding 시퀀스 진행 시 프로브 교체 위치에서 시퀀스 NG 발생
    - True / false 조건 에러로 인한 NG 
    - 수정 후 시퀀스 이상없음
</t>
    <phoneticPr fontId="3" type="noConversion"/>
  </si>
  <si>
    <t xml:space="preserve">
[작업내용]
  1. Aging Test 진행 대응
    - Aging 진행 시 Aging PG OCP 발생 시 Aging 진행 안되는 현상 발생
    - Ensis 측 관련 현상 대응 진행 완료 
    - Aging Recipe 수정 및 신호기 S/W 디버깅 진행(Ensis)
    - Manual Aging 테스트 진행 완료
</t>
    <phoneticPr fontId="3" type="noConversion"/>
  </si>
  <si>
    <t xml:space="preserve">
[작업내용]
  1. Aging Test 진행 대응
   - Aging 진행 시 측정 PG OCP 발생 시 Aging 진행 안되는 현상 발생
   - Ensis 측 관련 현상 대응 진행 완료 
   - Aging Recipe 수정 및 신호기 S/W 디버깅 진행(Ensis)
   - Manual Aging 테스트 진행 완료
</t>
    <phoneticPr fontId="3" type="noConversion"/>
  </si>
  <si>
    <t xml:space="preserve">
[작업내용]
  1. 특성 검사 대응
   - 1번 Head 특성 결과값 에러로 인한 대응 진행 
   - 특성 내재화 프로그램 DLL 최신화 및 MTP .ini 파일 수정 진행
   - YY_M_003 탈거하여 1번 블록 Pin 이물 제거 진행(프로이천)
   - 정상적인 Glass 찾아서 점등 상태, 컨택 상태 확인 완료
   - 이 후 WAD  재 전원 인가 후 측정 평가 진행 중 
</t>
    <phoneticPr fontId="3" type="noConversion"/>
  </si>
  <si>
    <t xml:space="preserve">
[작업내용]
  1. Aging Test 진행 대응
   - Aging Test 중 간헐적으로 Aging End 프로토콜 안오는 현상 발생 
   - Ensis 측 관련 현상 대응 진행 완료
   - 이 후 Aging 진행 시 현재까지 이상없음
   - Aging 평가 값 로그 분석
   - Aging 못한 Cell에서 정상으로 평가값이 올라옴
   - Ensis측에서 프로토콜 수정 진행 
2. 288M 화질카메라 개조 건
  1. 화질 광학계 탈거 진행
  2. 씽크론 288M 카메라 전달 완료 
</t>
    <phoneticPr fontId="3" type="noConversion"/>
  </si>
  <si>
    <t xml:space="preserve">
[작업내용]
1. 288M 화질카메라 개조 건
  1. 시야각 모듈 탈착 진행완료
    - DG 모델 측정시 간섭으로 인하여 임시 제거(DG모델 측정시에 제거)
 2. 설비 자재 정리 및 폐자재 폐기 완료</t>
    <phoneticPr fontId="3" type="noConversion"/>
  </si>
  <si>
    <t xml:space="preserve">
[작업내용]
1. 288M 화질카메라 개조 건
  1. YY 모델 프로브 탈착하여 케이스에 적재 완료
  2. 288M 카메라 연장케이블 포설 진행완료
   - 고어케이블 후단 에서 연결되는 케이블 임시 포설완료
</t>
    <phoneticPr fontId="3" type="noConversion"/>
  </si>
  <si>
    <t xml:space="preserve">• HBS 인원
생산: 한동천프로 
        이창민 프로
외주 원팀  김영준 
        원팀  윤동규
</t>
    <phoneticPr fontId="3" type="noConversion"/>
  </si>
  <si>
    <t xml:space="preserve">
[작업내용]
1. 288M 화질카메라 개조 건
  1. WAD  모듈 기구물 수정하여 설치완료
    -DG 모델 적용시 288M 카메라 모듈에 간섭되어 기구물 수정하여 
     설치완료
   2. Align 카메라 위치 변경완료
   3. 면계측&lt;&gt;288M 카메라 동축으로 인하여 기구물 수정
     - 288M 카메라 확장으로 인하여 동축 변경 필요하여 기구물 설치완료
    3. 고어케이블 반입완료
    4. 시야각 카메라 PP박스 적재완료
</t>
    <phoneticPr fontId="3" type="noConversion"/>
  </si>
  <si>
    <t xml:space="preserve">• HBS 인원
생산: 이창민 프로
SW : 정찬영 프로
외주 원팀  김영준 
</t>
    <phoneticPr fontId="3" type="noConversion"/>
  </si>
  <si>
    <t xml:space="preserve">• HBS 인원
생산: 이창민 프로
SW : 정찬영 프로
외주 원팀  김영준 
       엔시스  박재성
</t>
    <phoneticPr fontId="3" type="noConversion"/>
  </si>
  <si>
    <t xml:space="preserve">• HBS 인원
생산: 이창민 프로
SW : 정찬영 프로
외주 원팀  김영준 
       엔시스  박재성 외6 
</t>
    <phoneticPr fontId="3" type="noConversion"/>
  </si>
  <si>
    <t xml:space="preserve">• HBS 인원
생산: 이창민 프로
SW : 윤주승 프로
       정찬영 프로
외주 원팀  김영준 
       엔시스  박재성
</t>
    <phoneticPr fontId="3" type="noConversion"/>
  </si>
  <si>
    <t xml:space="preserve">
[작업내용]
1. 288M 화질카메라 개조 건
  1. 고어케이블 설치 진행완료
    - H3 H4 카메라 케이블 및 모터케이블 추가 된 고어케이블 설치완료
    - H3 H4 &lt;&gt; 전장박스 포설완료
  2. SMPS 및 모터 드라이버 설치완료
  3. 설비 이니셜 진행완료
 </t>
    <phoneticPr fontId="3" type="noConversion"/>
  </si>
  <si>
    <t>• HBS 인원
생산: 이창민 프로
제어: 최승현 프로
외주 원팀  김영준 
        원팀  윤동규
      전장: 김주석 외3명</t>
    <phoneticPr fontId="3" type="noConversion"/>
  </si>
  <si>
    <r>
      <t xml:space="preserve">
[작업내용]
1. 288M 화질카메라 개조 건
  1. Align 카메라 Setting 진행완료
    - 화질카메라 간섭으로 인하여 위치 변경 후 재 Setting 진행완료
   2. 프로이천 PCB 보드 개조 기구물 설치 진행완료
   3. 엔시스 PG 케이블 재 포설 진행완료
   4. DG 모델 프로브 설비 장착 진행
     - DG_M_001 측정 프로브 PCB 점프케이블 에 간섭으로 장착 불가
       (제로락 브라켓(1mm)보다 점프케이블 커넥터(2mm)가 높아 설치불가)
       * 명일 </t>
    </r>
    <r>
      <rPr>
        <sz val="12"/>
        <color rgb="FFFF0000"/>
        <rFont val="맑은 고딕"/>
        <family val="3"/>
        <charset val="129"/>
        <scheme val="minor"/>
      </rPr>
      <t>무조건 수정하여</t>
    </r>
    <r>
      <rPr>
        <sz val="12"/>
        <color theme="1"/>
        <rFont val="맑은 고딕"/>
        <family val="3"/>
        <charset val="129"/>
        <scheme val="minor"/>
      </rPr>
      <t xml:space="preserve"> 반입후 점등상태확인예정
     - DG Aging 프로브 장착 및 점등상태 확인 완료</t>
    </r>
    <phoneticPr fontId="3" type="noConversion"/>
  </si>
  <si>
    <t xml:space="preserve">• HBS 인원
생산: 이창민 프로
        오희돈 프로
SW   윤주승  프로
        정찬영  프로
외주 원팀  김영준 
        원팀  윤동규
      엔시스 : 박재성 외 1
    프로이천: 정민호 외 2 </t>
    <phoneticPr fontId="3" type="noConversion"/>
  </si>
  <si>
    <t xml:space="preserve">
[작업내용]
1. 288M 화질카메라 개조 건
  1. DG 모델 프로브 설비 장착 진행
   - DG_M_001 측정 프로브 PCB 점프케이블 에 간섭으로 프로브카드
     수정하여 반입 진행
   - 측정 프로브 점등 검증 진행완료
      </t>
    <phoneticPr fontId="3" type="noConversion"/>
  </si>
  <si>
    <t xml:space="preserve">• HBS 인원
생산: 이창민 프로
        한동천 프로
SW   윤주승  프로
        정찬영  프로
외주 원팀  김영준 
        원팀  윤동규
       씽크론 박성우 외1
    </t>
    <phoneticPr fontId="3" type="noConversion"/>
  </si>
  <si>
    <t xml:space="preserve">
[작업내용]
1. 288M 화질카메라 개조 건
  1.288M 카메라 모듈 반입 및 설치 완료
    - 모터 기구물 부착하여 정밀 Setting 가능하도록 개조진행
    - 기구물 설비에 설치완료
    - 카메라 모듈 구동프로그램 설치완료
    - 카메라 모듈 모터 구동완료
    - 카메라 그랩 확인완료
    - 화질프로그램 이용하여 정밀 Setting 진행(DG모델)
    - 글라스 측정영역 이동시 뎀퍼 간섭으로 제거 진행
      * 명일 위치이동 확인예정</t>
    <phoneticPr fontId="3" type="noConversion"/>
  </si>
  <si>
    <t xml:space="preserve">
[작업내용]
1. 288M 화질카메라 개조 건
  1.288M 카메라 모듈 프로그램 업데이트 진행
     - H3/H4 카메라 모터 값 Offset 설정 할 수 있도록 개선 완료
   2. Align 카메라 확인
   3. WAD 높이 확인(글라스 위 20mm 이하 확인
   4. 288M 측정위치 이동 확인
   5. Glass Align 이동 및 시퀀스 확인 
   6. Probe Aling 이동 및 시퀀스 확인
  </t>
    <phoneticPr fontId="3" type="noConversion"/>
  </si>
  <si>
    <t xml:space="preserve">• HBS 인원
생산: 이창민 프로
        한동천 프로
SW   윤주승  프로
        정찬영  프로
전장  최승현
외주 원팀  김영준 
        원팀  윤동규
       씽크론 박성우 외1
    </t>
    <phoneticPr fontId="3" type="noConversion"/>
  </si>
  <si>
    <t xml:space="preserve">
[작업내용]
1. 288M 화질카메라 개조 건
  1.Aging Test 진행완료
    - 측정,Aging 프로브 장착하여 Aging 진행
    - Aging 완료 보고확인
  2. 특성 레시피 확인 및 측정완료
    - SDC측 측정데이터 확인 중
  3. 화질 레시피 확인 및 측정완료
    - 내재화 프로그램 이상으로 결과데이터 확인중
  4. PG Cell 번호 설정완료
  5. Aging 측정 위치 설정 중
  </t>
    <phoneticPr fontId="3" type="noConversion"/>
  </si>
  <si>
    <t xml:space="preserve">• HBS 인원
생산: 이창민 프로
        한동천 프로
SW   윤주승  프로
        정찬영  프로
외주 원팀  김영준 
        원팀  윤동규
    </t>
    <phoneticPr fontId="3" type="noConversion"/>
  </si>
  <si>
    <t xml:space="preserve">
[작업내용]
1. 288M 화질카메라 개조 건
  1.Aging 측정 Test 진행
    ㄱ. 프로브 축 4EA 이용하여 Aging 진행
    ㄴ. 4-4-1로 총 9스틱 측정 시퀀스 설정진행
  2. 엔시스 Aging 점검
    ㄱ. 홀수 열 점등 시 짝수에도 점등이 되어 점검요청
  </t>
    <phoneticPr fontId="3" type="noConversion"/>
  </si>
  <si>
    <t xml:space="preserve">
[작업내용]
1. 288M 화질카메라 개조 건
  1. 특성 및 화질 측정 진행
    - SDC 내재화 프로그램 점검진행중
   2. 설비 내부 글라스 반출
    - 매뉴얼로 투입한 DG 글라스 반출하여 적재 완료
   3. 측정 글라스 DG 글라스 온라인으로 설비 투입완료  
  </t>
    <phoneticPr fontId="3" type="noConversion"/>
  </si>
  <si>
    <t xml:space="preserve">• HBS 인원
생산: 한동천 프로
SW   윤주승  프로
        정찬영  프로
외주 원팀  김영준 
        원팀  윤동규
    </t>
    <phoneticPr fontId="3" type="noConversion"/>
  </si>
  <si>
    <t xml:space="preserve">  </t>
    <phoneticPr fontId="3" type="noConversion"/>
  </si>
  <si>
    <t xml:space="preserve">
[작업내용]
1. 288M 화질카메라 개조 건
  1.엔시스 Aging 점검 진행
    - 홀수 열 점등 시 짝수에도 점등이 되어 SW 소스 수정하여 정상동작
      확인
  2. SDC 서버 PC&lt;&gt;설비 허브 랜선 포설
    - 화질 데이터 백업데이터 보관용으로 SDC Setting 진행중  
  3. DG 글라스 6매 Aging Run Test 진행중</t>
    <phoneticPr fontId="3" type="noConversion"/>
  </si>
  <si>
    <t xml:space="preserve">• HBS 인원
생산: 이창민 프로
SW   윤주승  프로
        정찬영  프로
외주 원팀  김영준 
        원팀  윤동규
       씽크론 박성우 외1
    </t>
    <phoneticPr fontId="3" type="noConversion"/>
  </si>
  <si>
    <t xml:space="preserve">
[작업내용]
1. 288M 화질카메라 개조 건
  1. DG 글라스 6매 Aging Run Test 진행중</t>
    <phoneticPr fontId="3" type="noConversion"/>
  </si>
  <si>
    <t xml:space="preserve">
[작업내용]
1. 288M 화질카메라 개조 건
  1. DG 글라스 6매 Aging Run Test 진행중
    - 288M 측정위치 재 Setting 
    - 배율 조절 및 카메라 평탄 재 조절
    - 측정 시퀀스 변경진행</t>
    <phoneticPr fontId="3" type="noConversion"/>
  </si>
  <si>
    <t xml:space="preserve">
[작업내용]
1. 288M 화질카메라 개조 건
  1. DG 글라스 6매 Aging Run Test 진행중
   - 엔시스 PG 블루 레시피 조절 </t>
    <phoneticPr fontId="3" type="noConversion"/>
  </si>
  <si>
    <t xml:space="preserve">
[작업내용]
 1. DG&gt;&gt;BT3,YY 모델 변경 작업진행
    - DG 모델 PI보드 &gt;&gt;BT3 PI보드 변경 작업진행_프로이천
    - PG 케이블 재포설 진행
    - BT3 모델 프로브 카드변경
    - DG 모델 프로브 반출예정으로 케이스 적재 진행
     (*저항 제거 및 커넥터 높이 이슈로 변경예정)
    - BT3모델 점등 확인완료
      * 엔시스 레시피 수정 </t>
    <phoneticPr fontId="3" type="noConversion"/>
  </si>
  <si>
    <t xml:space="preserve">• HBS 인원
생산: 이창민 프로
SW   윤주승  프로
        정찬영  프로
</t>
    <phoneticPr fontId="3" type="noConversion"/>
  </si>
  <si>
    <t xml:space="preserve">
[작업내용]
 1. DG&gt;&gt;BT3,YY 모델 변경 작업진행
    - BT3 모델 대비 288M 카메라 Setting 진행
    - H3 화질 카메라 측정영역 및 카메라 평탄 확인완료
    - 화질프로그램 이용하여 정밀 Setting 완료
    - H4 화질 카메라 측정영역 및 카메라 평탄 확인완료
    - 화질프로그램 INI 파일 변경으로 현업수정 진행중
      * 명일  정밀 Setting 진행예정</t>
    <phoneticPr fontId="3" type="noConversion"/>
  </si>
  <si>
    <t xml:space="preserve">
[작업내용]
 1. DG&gt;&gt;BT3,YY 모델 변경 작업진행
    - BT3 모델 대비 288M 카메라 Setting 진행
    - H4 화질 카메라 카메라 평탄 확인완료
    - 화질프로그램 Setting 진행
     ㄱ. H3/H4 288M 카메라 높이 차이 5mm 확인(모션데이터값 확인)
     ㄴ. H3 높이 낮추면 측정불감 확인
     ㄷ. H4 높이 이동후 평탄작업시 위치 원복 확인
     ㄹ. 1개 Z축에 H3/H4 동일 상에 위치하여 개별위치 조절필요
     ㄹ. 메뉴얼스테이지 Z축이없어 개별 높이 조절 불가
          * T축및 X 축 만 조절가능
     ㅁ. 측정 레시피 추가하여 H3만 진행하도록 수정 
     ㅂ. 측정 레시피 추가 후 H4 Z축 수정하여 측정가능하도록 수정
    - 1카세트 1회 H3 1회 H4 측정 진행
    - 추후 메뉴얼스테이 추가 검토예정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</si>
</sst>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F800]dddd\,\ mmmm\ dd\,\ yyyy"/>
    <numFmt numFmtId="177" formatCode="yy&quot;/&quot;m&quot;/&quot;d;@"/>
    <numFmt numFmtId="178" formatCode="m&quot;/&quot;d;@"/>
    <numFmt numFmtId="179" formatCode="0_);[Red]\(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36"/>
      <color indexed="8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BDD7EE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6">
    <xf numFmtId="0" fontId="0" fillId="0" borderId="0" xfId="0">
      <alignment vertical="center"/>
    </xf>
    <xf numFmtId="0" fontId="2" fillId="3" borderId="21" xfId="1" applyNumberFormat="1" applyFont="1" applyFill="1" applyBorder="1" applyAlignment="1">
      <alignment horizontal="center" vertical="center"/>
    </xf>
    <xf numFmtId="0" fontId="2" fillId="3" borderId="21" xfId="1" applyNumberFormat="1" applyFont="1" applyFill="1" applyBorder="1" applyAlignment="1">
      <alignment horizontal="center" vertical="center" wrapText="1"/>
    </xf>
    <xf numFmtId="0" fontId="2" fillId="3" borderId="28" xfId="1" applyNumberFormat="1" applyFont="1" applyFill="1" applyBorder="1" applyAlignment="1">
      <alignment horizontal="center" vertical="center"/>
    </xf>
    <xf numFmtId="9" fontId="10" fillId="0" borderId="43" xfId="0" applyNumberFormat="1" applyFont="1" applyBorder="1" applyAlignment="1">
      <alignment horizontal="center" vertical="center" wrapText="1" readingOrder="1"/>
    </xf>
    <xf numFmtId="9" fontId="12" fillId="0" borderId="43" xfId="0" applyNumberFormat="1" applyFont="1" applyBorder="1" applyAlignment="1">
      <alignment horizontal="center" vertical="center" wrapText="1" readingOrder="1"/>
    </xf>
    <xf numFmtId="179" fontId="11" fillId="0" borderId="43" xfId="0" applyNumberFormat="1" applyFont="1" applyBorder="1" applyAlignment="1">
      <alignment horizontal="center" vertical="center" wrapText="1" readingOrder="1"/>
    </xf>
    <xf numFmtId="9" fontId="11" fillId="0" borderId="43" xfId="0" applyNumberFormat="1" applyFont="1" applyBorder="1" applyAlignment="1">
      <alignment horizontal="center" vertical="center" wrapText="1" readingOrder="1"/>
    </xf>
    <xf numFmtId="9" fontId="7" fillId="0" borderId="13" xfId="0" applyNumberFormat="1" applyFont="1" applyBorder="1" applyAlignment="1">
      <alignment horizontal="center" vertical="center" wrapText="1" readingOrder="1"/>
    </xf>
    <xf numFmtId="9" fontId="11" fillId="0" borderId="13" xfId="0" applyNumberFormat="1" applyFont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center" vertical="center" wrapText="1"/>
    </xf>
    <xf numFmtId="9" fontId="11" fillId="0" borderId="14" xfId="0" applyNumberFormat="1" applyFont="1" applyBorder="1" applyAlignment="1">
      <alignment horizontal="center" vertical="center" wrapText="1" readingOrder="1"/>
    </xf>
    <xf numFmtId="0" fontId="9" fillId="4" borderId="10" xfId="0" applyFont="1" applyFill="1" applyBorder="1" applyAlignment="1">
      <alignment vertical="center" wrapText="1" readingOrder="1"/>
    </xf>
    <xf numFmtId="0" fontId="9" fillId="4" borderId="10" xfId="0" applyFont="1" applyFill="1" applyBorder="1" applyAlignment="1">
      <alignment horizontal="center" vertical="center" wrapText="1" readingOrder="1"/>
    </xf>
    <xf numFmtId="0" fontId="9" fillId="4" borderId="11" xfId="0" applyFont="1" applyFill="1" applyBorder="1" applyAlignment="1">
      <alignment horizontal="center" vertical="center" wrapText="1" readingOrder="1"/>
    </xf>
    <xf numFmtId="178" fontId="11" fillId="0" borderId="43" xfId="0" applyNumberFormat="1" applyFont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2" fillId="0" borderId="27" xfId="1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0" fillId="0" borderId="0" xfId="0">
      <alignment vertical="center"/>
    </xf>
    <xf numFmtId="0" fontId="2" fillId="3" borderId="21" xfId="1" applyNumberFormat="1" applyFont="1" applyFill="1" applyBorder="1" applyAlignment="1">
      <alignment horizontal="center" vertical="center"/>
    </xf>
    <xf numFmtId="0" fontId="2" fillId="3" borderId="21" xfId="1" applyNumberFormat="1" applyFont="1" applyFill="1" applyBorder="1" applyAlignment="1">
      <alignment horizontal="center" vertical="center" wrapText="1"/>
    </xf>
    <xf numFmtId="0" fontId="2" fillId="3" borderId="28" xfId="1" applyNumberFormat="1" applyFont="1" applyFill="1" applyBorder="1" applyAlignment="1">
      <alignment horizontal="center" vertical="center"/>
    </xf>
    <xf numFmtId="9" fontId="10" fillId="0" borderId="43" xfId="0" applyNumberFormat="1" applyFont="1" applyBorder="1" applyAlignment="1">
      <alignment horizontal="center" vertical="center" wrapText="1" readingOrder="1"/>
    </xf>
    <xf numFmtId="9" fontId="12" fillId="0" borderId="43" xfId="0" applyNumberFormat="1" applyFont="1" applyBorder="1" applyAlignment="1">
      <alignment horizontal="center" vertical="center" wrapText="1" readingOrder="1"/>
    </xf>
    <xf numFmtId="179" fontId="11" fillId="0" borderId="43" xfId="0" applyNumberFormat="1" applyFont="1" applyBorder="1" applyAlignment="1">
      <alignment horizontal="center" vertical="center" wrapText="1" readingOrder="1"/>
    </xf>
    <xf numFmtId="9" fontId="11" fillId="0" borderId="43" xfId="0" applyNumberFormat="1" applyFont="1" applyBorder="1" applyAlignment="1">
      <alignment horizontal="center" vertical="center" wrapText="1" readingOrder="1"/>
    </xf>
    <xf numFmtId="9" fontId="7" fillId="0" borderId="13" xfId="0" applyNumberFormat="1" applyFont="1" applyBorder="1" applyAlignment="1">
      <alignment horizontal="center" vertical="center" wrapText="1" readingOrder="1"/>
    </xf>
    <xf numFmtId="9" fontId="11" fillId="0" borderId="13" xfId="0" applyNumberFormat="1" applyFont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center" vertical="center" wrapText="1"/>
    </xf>
    <xf numFmtId="9" fontId="11" fillId="0" borderId="14" xfId="0" applyNumberFormat="1" applyFont="1" applyBorder="1" applyAlignment="1">
      <alignment horizontal="center" vertical="center" wrapText="1" readingOrder="1"/>
    </xf>
    <xf numFmtId="0" fontId="9" fillId="4" borderId="10" xfId="0" applyFont="1" applyFill="1" applyBorder="1" applyAlignment="1">
      <alignment vertical="center" wrapText="1" readingOrder="1"/>
    </xf>
    <xf numFmtId="0" fontId="9" fillId="4" borderId="10" xfId="0" applyFont="1" applyFill="1" applyBorder="1" applyAlignment="1">
      <alignment horizontal="center" vertical="center" wrapText="1" readingOrder="1"/>
    </xf>
    <xf numFmtId="0" fontId="9" fillId="4" borderId="11" xfId="0" applyFont="1" applyFill="1" applyBorder="1" applyAlignment="1">
      <alignment horizontal="center" vertical="center" wrapText="1" readingOrder="1"/>
    </xf>
    <xf numFmtId="178" fontId="11" fillId="0" borderId="43" xfId="0" applyNumberFormat="1" applyFont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2" fillId="0" borderId="27" xfId="1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9" fontId="13" fillId="0" borderId="13" xfId="0" applyNumberFormat="1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15" fillId="2" borderId="1" xfId="1" applyNumberFormat="1" applyFont="1" applyFill="1" applyBorder="1" applyAlignment="1">
      <alignment horizontal="center" vertical="center" wrapText="1"/>
    </xf>
    <xf numFmtId="0" fontId="15" fillId="2" borderId="2" xfId="1" applyNumberFormat="1" applyFont="1" applyFill="1" applyBorder="1" applyAlignment="1">
      <alignment horizontal="center" vertical="center" wrapText="1"/>
    </xf>
    <xf numFmtId="0" fontId="15" fillId="2" borderId="3" xfId="1" applyNumberFormat="1" applyFont="1" applyFill="1" applyBorder="1" applyAlignment="1">
      <alignment horizontal="center" vertical="center" wrapText="1"/>
    </xf>
    <xf numFmtId="0" fontId="15" fillId="2" borderId="7" xfId="1" applyNumberFormat="1" applyFont="1" applyFill="1" applyBorder="1" applyAlignment="1">
      <alignment horizontal="center" vertical="center" wrapText="1"/>
    </xf>
    <xf numFmtId="0" fontId="15" fillId="2" borderId="0" xfId="1" applyNumberFormat="1" applyFont="1" applyFill="1" applyBorder="1" applyAlignment="1">
      <alignment horizontal="center" vertical="center" wrapText="1"/>
    </xf>
    <xf numFmtId="0" fontId="15" fillId="2" borderId="8" xfId="1" applyNumberFormat="1" applyFont="1" applyFill="1" applyBorder="1" applyAlignment="1">
      <alignment horizontal="center" vertical="center" wrapText="1"/>
    </xf>
    <xf numFmtId="0" fontId="15" fillId="2" borderId="15" xfId="1" applyNumberFormat="1" applyFont="1" applyFill="1" applyBorder="1" applyAlignment="1">
      <alignment horizontal="center" vertical="center" wrapText="1"/>
    </xf>
    <xf numFmtId="0" fontId="15" fillId="2" borderId="16" xfId="1" applyNumberFormat="1" applyFont="1" applyFill="1" applyBorder="1" applyAlignment="1">
      <alignment horizontal="center" vertical="center" wrapText="1"/>
    </xf>
    <xf numFmtId="0" fontId="15" fillId="2" borderId="17" xfId="1" applyNumberFormat="1" applyFont="1" applyFill="1" applyBorder="1" applyAlignment="1">
      <alignment horizontal="center" vertical="center" wrapText="1"/>
    </xf>
    <xf numFmtId="176" fontId="2" fillId="3" borderId="4" xfId="1" applyNumberFormat="1" applyFont="1" applyFill="1" applyBorder="1" applyAlignment="1">
      <alignment horizontal="center" vertical="center"/>
    </xf>
    <xf numFmtId="176" fontId="2" fillId="3" borderId="5" xfId="1" applyNumberFormat="1" applyFont="1" applyFill="1" applyBorder="1" applyAlignment="1">
      <alignment horizontal="center" vertical="center"/>
    </xf>
    <xf numFmtId="0" fontId="2" fillId="3" borderId="5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14" fontId="2" fillId="0" borderId="13" xfId="1" applyNumberFormat="1" applyFont="1" applyBorder="1" applyAlignment="1">
      <alignment horizontal="center" vertical="center"/>
    </xf>
    <xf numFmtId="14" fontId="2" fillId="0" borderId="18" xfId="1" applyNumberFormat="1" applyFont="1" applyBorder="1" applyAlignment="1">
      <alignment horizontal="center" vertical="center"/>
    </xf>
    <xf numFmtId="14" fontId="2" fillId="0" borderId="19" xfId="1" applyNumberFormat="1" applyFont="1" applyBorder="1" applyAlignment="1">
      <alignment horizontal="center" vertical="center"/>
    </xf>
    <xf numFmtId="176" fontId="2" fillId="0" borderId="10" xfId="1" applyNumberFormat="1" applyFont="1" applyBorder="1" applyAlignment="1">
      <alignment horizontal="center" vertical="center"/>
    </xf>
    <xf numFmtId="176" fontId="2" fillId="0" borderId="13" xfId="1" applyNumberFormat="1" applyFont="1" applyBorder="1" applyAlignment="1">
      <alignment horizontal="center" vertical="center"/>
    </xf>
    <xf numFmtId="176" fontId="2" fillId="0" borderId="19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3" borderId="22" xfId="1" applyNumberFormat="1" applyFont="1" applyFill="1" applyBorder="1" applyAlignment="1">
      <alignment horizontal="center" vertical="center"/>
    </xf>
    <xf numFmtId="0" fontId="2" fillId="3" borderId="23" xfId="1" applyNumberFormat="1" applyFont="1" applyFill="1" applyBorder="1" applyAlignment="1">
      <alignment horizontal="center" vertical="center"/>
    </xf>
    <xf numFmtId="0" fontId="2" fillId="3" borderId="24" xfId="1" applyNumberFormat="1" applyFont="1" applyFill="1" applyBorder="1" applyAlignment="1">
      <alignment horizontal="center" vertical="center"/>
    </xf>
    <xf numFmtId="0" fontId="2" fillId="3" borderId="25" xfId="1" applyNumberFormat="1" applyFont="1" applyFill="1" applyBorder="1" applyAlignment="1">
      <alignment horizontal="center" vertical="center"/>
    </xf>
    <xf numFmtId="0" fontId="2" fillId="3" borderId="26" xfId="1" applyNumberFormat="1" applyFont="1" applyFill="1" applyBorder="1" applyAlignment="1">
      <alignment horizontal="center" vertical="center"/>
    </xf>
    <xf numFmtId="0" fontId="2" fillId="0" borderId="28" xfId="1" applyNumberFormat="1" applyFont="1" applyFill="1" applyBorder="1" applyAlignment="1">
      <alignment horizontal="center" vertical="center" wrapText="1"/>
    </xf>
    <xf numFmtId="0" fontId="2" fillId="0" borderId="21" xfId="1" applyNumberFormat="1" applyFont="1" applyFill="1" applyBorder="1" applyAlignment="1">
      <alignment horizontal="center" vertical="center" wrapText="1"/>
    </xf>
    <xf numFmtId="14" fontId="2" fillId="0" borderId="29" xfId="1" applyNumberFormat="1" applyFont="1" applyFill="1" applyBorder="1" applyAlignment="1">
      <alignment horizontal="center" vertical="center" wrapText="1"/>
    </xf>
    <xf numFmtId="14" fontId="2" fillId="0" borderId="30" xfId="1" applyNumberFormat="1" applyFont="1" applyFill="1" applyBorder="1" applyAlignment="1">
      <alignment horizontal="center" vertical="center" wrapText="1"/>
    </xf>
    <xf numFmtId="177" fontId="5" fillId="0" borderId="31" xfId="1" applyNumberFormat="1" applyFont="1" applyFill="1" applyBorder="1" applyAlignment="1">
      <alignment horizontal="center" vertical="center" wrapText="1"/>
    </xf>
    <xf numFmtId="177" fontId="5" fillId="0" borderId="29" xfId="1" applyNumberFormat="1" applyFont="1" applyFill="1" applyBorder="1" applyAlignment="1">
      <alignment horizontal="center" vertical="center" wrapText="1"/>
    </xf>
    <xf numFmtId="177" fontId="6" fillId="0" borderId="31" xfId="1" applyNumberFormat="1" applyFont="1" applyFill="1" applyBorder="1" applyAlignment="1">
      <alignment horizontal="center" vertical="center" wrapText="1"/>
    </xf>
    <xf numFmtId="177" fontId="6" fillId="0" borderId="32" xfId="1" applyNumberFormat="1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top" wrapText="1"/>
    </xf>
    <xf numFmtId="0" fontId="8" fillId="0" borderId="42" xfId="0" applyFont="1" applyBorder="1" applyAlignment="1">
      <alignment horizontal="left" vertical="top" wrapText="1"/>
    </xf>
    <xf numFmtId="0" fontId="8" fillId="0" borderId="33" xfId="0" applyFont="1" applyBorder="1" applyAlignment="1">
      <alignment horizontal="left" vertical="top" wrapText="1"/>
    </xf>
    <xf numFmtId="0" fontId="9" fillId="4" borderId="41" xfId="0" applyFont="1" applyFill="1" applyBorder="1" applyAlignment="1">
      <alignment horizontal="center" vertical="center" wrapText="1" readingOrder="1"/>
    </xf>
    <xf numFmtId="0" fontId="9" fillId="4" borderId="31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4" xfId="0" applyFont="1" applyFill="1" applyBorder="1" applyAlignment="1">
      <alignment horizontal="center" vertical="center" wrapText="1" readingOrder="1"/>
    </xf>
    <xf numFmtId="0" fontId="9" fillId="4" borderId="20" xfId="0" applyFont="1" applyFill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7" fillId="4" borderId="35" xfId="0" applyFont="1" applyFill="1" applyBorder="1" applyAlignment="1">
      <alignment horizontal="center" vertical="center" wrapText="1" readingOrder="1"/>
    </xf>
    <xf numFmtId="0" fontId="7" fillId="4" borderId="39" xfId="0" applyFont="1" applyFill="1" applyBorder="1" applyAlignment="1">
      <alignment horizontal="center" vertical="center" wrapText="1" readingOrder="1"/>
    </xf>
    <xf numFmtId="0" fontId="7" fillId="4" borderId="34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7" fillId="4" borderId="40" xfId="0" applyFont="1" applyFill="1" applyBorder="1" applyAlignment="1">
      <alignment horizontal="center" vertical="center" wrapText="1" readingOrder="1"/>
    </xf>
    <xf numFmtId="0" fontId="7" fillId="4" borderId="31" xfId="0" applyFont="1" applyFill="1" applyBorder="1" applyAlignment="1">
      <alignment horizontal="center" vertical="center" wrapText="1" readingOrder="1"/>
    </xf>
    <xf numFmtId="0" fontId="7" fillId="4" borderId="36" xfId="0" applyFont="1" applyFill="1" applyBorder="1" applyAlignment="1">
      <alignment horizontal="center" vertical="center" wrapText="1" readingOrder="1"/>
    </xf>
    <xf numFmtId="0" fontId="7" fillId="4" borderId="37" xfId="0" applyFont="1" applyFill="1" applyBorder="1" applyAlignment="1">
      <alignment horizontal="center" vertical="center" wrapText="1" readingOrder="1"/>
    </xf>
    <xf numFmtId="0" fontId="7" fillId="4" borderId="38" xfId="0" applyFont="1" applyFill="1" applyBorder="1" applyAlignment="1">
      <alignment horizontal="center" vertical="center" wrapText="1" readingOrder="1"/>
    </xf>
    <xf numFmtId="0" fontId="10" fillId="5" borderId="35" xfId="0" applyFont="1" applyFill="1" applyBorder="1" applyAlignment="1">
      <alignment horizontal="center" vertical="center" wrapText="1" readingOrder="1"/>
    </xf>
    <xf numFmtId="0" fontId="10" fillId="5" borderId="39" xfId="0" applyFont="1" applyFill="1" applyBorder="1" applyAlignment="1">
      <alignment horizontal="center" vertical="center" wrapText="1" readingOrder="1"/>
    </xf>
    <xf numFmtId="0" fontId="10" fillId="5" borderId="5" xfId="0" applyFont="1" applyFill="1" applyBorder="1" applyAlignment="1">
      <alignment horizontal="center" vertical="center" wrapText="1" readingOrder="1"/>
    </xf>
    <xf numFmtId="0" fontId="10" fillId="5" borderId="40" xfId="0" applyFont="1" applyFill="1" applyBorder="1" applyAlignment="1">
      <alignment horizontal="center" vertical="center" wrapText="1" readingOrder="1"/>
    </xf>
    <xf numFmtId="0" fontId="10" fillId="5" borderId="43" xfId="0" applyFont="1" applyFill="1" applyBorder="1" applyAlignment="1">
      <alignment horizontal="center" vertical="center" wrapText="1" readingOrder="1"/>
    </xf>
    <xf numFmtId="179" fontId="7" fillId="0" borderId="41" xfId="0" applyNumberFormat="1" applyFont="1" applyBorder="1" applyAlignment="1">
      <alignment horizontal="center" vertical="center" wrapText="1" readingOrder="1"/>
    </xf>
    <xf numFmtId="179" fontId="7" fillId="0" borderId="43" xfId="0" applyNumberFormat="1" applyFont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2" fillId="3" borderId="15" xfId="1" applyNumberFormat="1" applyFont="1" applyFill="1" applyBorder="1" applyAlignment="1">
      <alignment horizontal="center" vertical="center"/>
    </xf>
    <xf numFmtId="0" fontId="2" fillId="3" borderId="16" xfId="1" applyNumberFormat="1" applyFont="1" applyFill="1" applyBorder="1" applyAlignment="1">
      <alignment horizontal="center" vertical="center"/>
    </xf>
    <xf numFmtId="0" fontId="2" fillId="3" borderId="17" xfId="1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top" wrapText="1"/>
    </xf>
  </cellXfs>
  <cellStyles count="2">
    <cellStyle name="표준" xfId="0" builtinId="0"/>
    <cellStyle name="표준 2" xfId="1"/>
  </cellStyles>
  <dxfs count="198"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85" zoomScaleNormal="85" workbookViewId="0">
      <selection activeCell="F13" sqref="F13"/>
    </sheetView>
  </sheetViews>
  <sheetFormatPr defaultColWidth="9" defaultRowHeight="16.5" outlineLevelRow="1" x14ac:dyDescent="0.3"/>
  <cols>
    <col min="3" max="3" width="8.375" customWidth="1"/>
    <col min="4" max="27" width="6.75" customWidth="1"/>
    <col min="28" max="28" width="33" customWidth="1"/>
  </cols>
  <sheetData>
    <row r="1" spans="2:28" ht="17.25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82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16.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37.1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1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18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8" thickBot="1" x14ac:dyDescent="0.35">
      <c r="B8" s="2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3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55</v>
      </c>
    </row>
    <row r="10" spans="2:28" ht="19.149999999999999" customHeight="1" x14ac:dyDescent="0.3">
      <c r="B10" s="180"/>
      <c r="C10" s="183"/>
      <c r="D10" s="171" t="s">
        <v>81</v>
      </c>
      <c r="E10" s="19" t="s">
        <v>14</v>
      </c>
      <c r="F10" s="173" t="s">
        <v>15</v>
      </c>
      <c r="G10" s="173" t="s">
        <v>16</v>
      </c>
      <c r="H10" s="173" t="s">
        <v>80</v>
      </c>
      <c r="I10" s="173" t="s">
        <v>18</v>
      </c>
      <c r="J10" s="173" t="s">
        <v>19</v>
      </c>
      <c r="K10" s="173" t="s">
        <v>79</v>
      </c>
      <c r="L10" s="173" t="s">
        <v>78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20" t="s">
        <v>77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76</v>
      </c>
      <c r="C12" s="190" t="s">
        <v>59</v>
      </c>
      <c r="D12" s="12"/>
      <c r="E12" s="13" t="s">
        <v>38</v>
      </c>
      <c r="F12" s="13" t="s">
        <v>39</v>
      </c>
      <c r="G12" s="13" t="s">
        <v>39</v>
      </c>
      <c r="H12" s="13" t="s">
        <v>39</v>
      </c>
      <c r="I12" s="13" t="s">
        <v>51</v>
      </c>
      <c r="J12" s="13" t="s">
        <v>39</v>
      </c>
      <c r="K12" s="13" t="s">
        <v>39</v>
      </c>
      <c r="L12" s="13" t="s">
        <v>39</v>
      </c>
      <c r="M12" s="13" t="s">
        <v>39</v>
      </c>
      <c r="N12" s="13" t="s">
        <v>39</v>
      </c>
      <c r="O12" s="13" t="s">
        <v>39</v>
      </c>
      <c r="P12" s="13" t="s">
        <v>39</v>
      </c>
      <c r="Q12" s="13" t="s">
        <v>51</v>
      </c>
      <c r="R12" s="13" t="s">
        <v>39</v>
      </c>
      <c r="S12" s="13" t="s">
        <v>39</v>
      </c>
      <c r="T12" s="13" t="s">
        <v>39</v>
      </c>
      <c r="U12" s="13" t="s">
        <v>39</v>
      </c>
      <c r="V12" s="13" t="s">
        <v>75</v>
      </c>
      <c r="W12" s="13" t="s">
        <v>39</v>
      </c>
      <c r="X12" s="13" t="s">
        <v>39</v>
      </c>
      <c r="Y12" s="13" t="s">
        <v>39</v>
      </c>
      <c r="Z12" s="13" t="s">
        <v>39</v>
      </c>
      <c r="AA12" s="14" t="s">
        <v>39</v>
      </c>
      <c r="AB12" s="169"/>
    </row>
    <row r="13" spans="2:28" ht="17.25" collapsed="1" x14ac:dyDescent="0.3">
      <c r="B13" s="189"/>
      <c r="C13" s="191"/>
      <c r="D13" s="8" t="s">
        <v>74</v>
      </c>
      <c r="E13" s="8">
        <f>IF(($V$3-$T$7)/($AA13-$T$7)&gt;1,"100%",IF(($V$3-$T$7)/($AA13-$T$7)&lt;0,"0%",($V$3-$T$7)/($AA13-$T$7)))</f>
        <v>0</v>
      </c>
      <c r="F13" s="15">
        <f>T7</f>
        <v>44670</v>
      </c>
      <c r="G13" s="15">
        <f>IF(G12="o", F13+3, F13)</f>
        <v>44673</v>
      </c>
      <c r="H13" s="15">
        <f>IF(H12="o", G13+4, G13)</f>
        <v>44677</v>
      </c>
      <c r="I13" s="15">
        <f>IF(I12="o", H13+5, H13)</f>
        <v>44677</v>
      </c>
      <c r="J13" s="15">
        <f>IF(J12="o", I13+1, I13)</f>
        <v>44678</v>
      </c>
      <c r="K13" s="15">
        <f>IF(K12="o", J13+1, J13)</f>
        <v>44679</v>
      </c>
      <c r="L13" s="15">
        <f>IF(L12="o", K13+2, K13)</f>
        <v>44681</v>
      </c>
      <c r="M13" s="15">
        <f>IF(M12="o", L13+2, L13)</f>
        <v>44683</v>
      </c>
      <c r="N13" s="15">
        <f>IF(N12="o", M13+2, M13)</f>
        <v>44685</v>
      </c>
      <c r="O13" s="15">
        <f>IF(O12="o", N13+3, N13)</f>
        <v>44688</v>
      </c>
      <c r="P13" s="15">
        <f>IF(P12="o", O13+2, O13)</f>
        <v>44690</v>
      </c>
      <c r="Q13" s="15">
        <f>IF(Q12="o", P13+2, P13)</f>
        <v>44690</v>
      </c>
      <c r="R13" s="15">
        <f>IF(R12="o", Q13+3, Q13)</f>
        <v>44693</v>
      </c>
      <c r="S13" s="15">
        <f>IF(S12="o", R13+3, R13)</f>
        <v>44696</v>
      </c>
      <c r="T13" s="15">
        <f>IF(T12="o", S13+3, S13)</f>
        <v>44699</v>
      </c>
      <c r="U13" s="15">
        <f>IF(U12="o", T13+3, T13)</f>
        <v>44702</v>
      </c>
      <c r="V13" s="15">
        <f>IF(V12="o", U13+2, U13)</f>
        <v>44704</v>
      </c>
      <c r="W13" s="15">
        <f>IF(W12="o", V13+7, V13)</f>
        <v>44711</v>
      </c>
      <c r="X13" s="15">
        <f>IF(X12="o", W13+7, W13)</f>
        <v>44718</v>
      </c>
      <c r="Y13" s="15">
        <f>IF(Y12="o", X13+7, X13)</f>
        <v>44725</v>
      </c>
      <c r="Z13" s="15">
        <f>IF(Z12="o", Y13+2, Y13)</f>
        <v>44727</v>
      </c>
      <c r="AA13" s="15">
        <f>AA7</f>
        <v>44742</v>
      </c>
      <c r="AB13" s="169"/>
    </row>
    <row r="14" spans="2:28" ht="17.25" hidden="1" outlineLevel="1" x14ac:dyDescent="0.3">
      <c r="B14" s="189"/>
      <c r="C14" s="191"/>
      <c r="D14" s="4" t="s">
        <v>73</v>
      </c>
      <c r="E14" s="5" t="s">
        <v>72</v>
      </c>
      <c r="F14" s="6">
        <f>F13-$T7</f>
        <v>0</v>
      </c>
      <c r="G14" s="6">
        <f>IF($G$12="o",G13-F13,"0")</f>
        <v>3</v>
      </c>
      <c r="H14" s="6">
        <f>IF($H$12="o",IF($G$12="x",H13-F13,H13-G13),"0")</f>
        <v>4</v>
      </c>
      <c r="I14" s="6" t="str">
        <f>IF($I$12="o",IF($H$12="x",IF($G$12="x",I13-F13,I13-G13),I13-H13),"0")</f>
        <v>0</v>
      </c>
      <c r="J14" s="6">
        <f>IF($J$12="o",IF($I$12="x",IF($H$12="x",IF($G$12="x",J13-F13,J13-G13),J13-H13),J13-I13),"0")</f>
        <v>1</v>
      </c>
      <c r="K14" s="6">
        <f>IF($K$12="o",IF($J$12="x",IF($I$12="x",IF($H$12="x",IF($G$12="x",K13-F13,K13-G13),K13-H13),K13-I13),K13-J13),"0")</f>
        <v>1</v>
      </c>
      <c r="L14" s="6">
        <f>IF($L$12="o",IF($K$12="x",IF($J$12="x",IF($I$12="x",IF($H$12="x",IF($G$12="x",L13-F13,L13-G13),L13-H13),L13-I13),L13-J13),L13-K13),"0")</f>
        <v>2</v>
      </c>
      <c r="M14" s="6">
        <f>IF($M$12="o",IF($L$12="x",IF($K$12="x",IF($J$12="x",IF($I$12="x",IF($H$12="x",IF($G$12="x",M13-F13,M13-G13),M13-H13),M13-I13),M13-J13),M13-K13),M13-L13),"0")</f>
        <v>2</v>
      </c>
      <c r="N14" s="6">
        <f>IF($N$12="o",IF($M$12="x",IF($L$12="x",IF($K$12="x",IF($J$12="x",IF($I$12="x",IF($H$12="x",IF($G$12="x",N13-F13,N13-G13),N13-H13),N13-I13),N13-J13),N13-K13),N13-L13),N13-M13),"0")</f>
        <v>2</v>
      </c>
      <c r="O14" s="6">
        <f>IF($O$12="o",IF($N$12="x",IF($M$12="x",IF($L$12="x",IF($K$12="x",IF($J$12="x",IF($I$12="x",IF($H$12="x",IF($G$12="x",O13-F13,O13-G13),O13-H13),O13-I13),O13-J13),O13-K13),O13-L13),O13-M13),O13-N13),"0")</f>
        <v>3</v>
      </c>
      <c r="P14" s="6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6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6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6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6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6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6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6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6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6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6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6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4" t="s">
        <v>71</v>
      </c>
      <c r="E15" s="193">
        <f>AA13-$T7</f>
        <v>72</v>
      </c>
      <c r="F15" s="7">
        <f t="shared" ref="F15:AA15" si="0">IF(F14/$E$15&gt;1,"100%",IF(F14/$E$15&lt;0,"0%",F14/$E$15))</f>
        <v>0</v>
      </c>
      <c r="G15" s="7">
        <f t="shared" si="0"/>
        <v>4.1666666666666664E-2</v>
      </c>
      <c r="H15" s="7">
        <f t="shared" si="0"/>
        <v>5.5555555555555552E-2</v>
      </c>
      <c r="I15" s="7">
        <f t="shared" si="0"/>
        <v>0</v>
      </c>
      <c r="J15" s="7">
        <f t="shared" si="0"/>
        <v>1.3888888888888888E-2</v>
      </c>
      <c r="K15" s="7">
        <f t="shared" si="0"/>
        <v>1.3888888888888888E-2</v>
      </c>
      <c r="L15" s="7">
        <f t="shared" si="0"/>
        <v>2.7777777777777776E-2</v>
      </c>
      <c r="M15" s="7">
        <f t="shared" si="0"/>
        <v>2.7777777777777776E-2</v>
      </c>
      <c r="N15" s="7">
        <f t="shared" si="0"/>
        <v>2.7777777777777776E-2</v>
      </c>
      <c r="O15" s="7">
        <f t="shared" si="0"/>
        <v>4.1666666666666664E-2</v>
      </c>
      <c r="P15" s="7">
        <f t="shared" si="0"/>
        <v>2.7777777777777776E-2</v>
      </c>
      <c r="Q15" s="7">
        <f t="shared" si="0"/>
        <v>0</v>
      </c>
      <c r="R15" s="7">
        <f t="shared" si="0"/>
        <v>6.9444444444444448E-2</v>
      </c>
      <c r="S15" s="7">
        <f t="shared" si="0"/>
        <v>4.1666666666666664E-2</v>
      </c>
      <c r="T15" s="7">
        <f t="shared" si="0"/>
        <v>4.1666666666666664E-2</v>
      </c>
      <c r="U15" s="7">
        <f t="shared" si="0"/>
        <v>4.1666666666666664E-2</v>
      </c>
      <c r="V15" s="7">
        <f t="shared" si="0"/>
        <v>2.7777777777777776E-2</v>
      </c>
      <c r="W15" s="7">
        <f t="shared" si="0"/>
        <v>9.7222222222222224E-2</v>
      </c>
      <c r="X15" s="7">
        <f t="shared" si="0"/>
        <v>9.7222222222222224E-2</v>
      </c>
      <c r="Y15" s="7">
        <f t="shared" si="0"/>
        <v>9.7222222222222224E-2</v>
      </c>
      <c r="Z15" s="7">
        <f t="shared" si="0"/>
        <v>2.7777777777777776E-2</v>
      </c>
      <c r="AA15" s="7">
        <f t="shared" si="0"/>
        <v>0.20833333333333334</v>
      </c>
      <c r="AB15" s="169"/>
    </row>
    <row r="16" spans="2:28" ht="17.25" hidden="1" outlineLevel="1" x14ac:dyDescent="0.3">
      <c r="B16" s="189"/>
      <c r="C16" s="191"/>
      <c r="D16" s="4" t="s">
        <v>70</v>
      </c>
      <c r="E16" s="194"/>
      <c r="F16" s="7">
        <f t="shared" ref="F16:AA16" si="1">F15*F17</f>
        <v>0</v>
      </c>
      <c r="G16" s="7">
        <f t="shared" si="1"/>
        <v>0</v>
      </c>
      <c r="H16" s="7">
        <f t="shared" si="1"/>
        <v>0</v>
      </c>
      <c r="I16" s="7">
        <f t="shared" si="1"/>
        <v>0</v>
      </c>
      <c r="J16" s="7">
        <f t="shared" si="1"/>
        <v>0</v>
      </c>
      <c r="K16" s="7">
        <f t="shared" si="1"/>
        <v>0</v>
      </c>
      <c r="L16" s="7">
        <f t="shared" si="1"/>
        <v>0</v>
      </c>
      <c r="M16" s="7">
        <f t="shared" si="1"/>
        <v>0</v>
      </c>
      <c r="N16" s="7">
        <f t="shared" si="1"/>
        <v>0</v>
      </c>
      <c r="O16" s="7">
        <f t="shared" si="1"/>
        <v>0</v>
      </c>
      <c r="P16" s="7">
        <f t="shared" si="1"/>
        <v>0</v>
      </c>
      <c r="Q16" s="7">
        <f t="shared" si="1"/>
        <v>0</v>
      </c>
      <c r="R16" s="7">
        <f t="shared" si="1"/>
        <v>0</v>
      </c>
      <c r="S16" s="7">
        <f t="shared" si="1"/>
        <v>0</v>
      </c>
      <c r="T16" s="7">
        <f t="shared" si="1"/>
        <v>0</v>
      </c>
      <c r="U16" s="7">
        <f t="shared" si="1"/>
        <v>0</v>
      </c>
      <c r="V16" s="7">
        <f t="shared" si="1"/>
        <v>0</v>
      </c>
      <c r="W16" s="7">
        <f t="shared" si="1"/>
        <v>0</v>
      </c>
      <c r="X16" s="7">
        <f t="shared" si="1"/>
        <v>0</v>
      </c>
      <c r="Y16" s="7">
        <f t="shared" si="1"/>
        <v>0</v>
      </c>
      <c r="Z16" s="7">
        <f t="shared" si="1"/>
        <v>0</v>
      </c>
      <c r="AA16" s="7">
        <f t="shared" si="1"/>
        <v>0</v>
      </c>
      <c r="AB16" s="169"/>
    </row>
    <row r="17" spans="2:28" ht="17.25" x14ac:dyDescent="0.3">
      <c r="B17" s="189"/>
      <c r="C17" s="192"/>
      <c r="D17" s="8" t="s">
        <v>69</v>
      </c>
      <c r="E17" s="8">
        <f>SUMIF($F$12:$Z$12,"o",F16:Z16)</f>
        <v>0</v>
      </c>
      <c r="F17" s="9">
        <v>1</v>
      </c>
      <c r="G17" s="9"/>
      <c r="H17" s="9"/>
      <c r="I17" s="9"/>
      <c r="J17" s="9"/>
      <c r="K17" s="10"/>
      <c r="L17" s="10"/>
      <c r="M17" s="10"/>
      <c r="N17" s="9"/>
      <c r="O17" s="9"/>
      <c r="P17" s="9"/>
      <c r="Q17" s="9"/>
      <c r="R17" s="9"/>
      <c r="S17" s="9"/>
      <c r="T17" s="10"/>
      <c r="U17" s="10"/>
      <c r="V17" s="10"/>
      <c r="W17" s="10"/>
      <c r="X17" s="9"/>
      <c r="Y17" s="9"/>
      <c r="Z17" s="9"/>
      <c r="AA17" s="11"/>
      <c r="AB17" s="169"/>
    </row>
    <row r="18" spans="2:28" ht="18" thickBot="1" x14ac:dyDescent="0.35">
      <c r="B18" s="199" t="s">
        <v>68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67</v>
      </c>
      <c r="C19" s="203"/>
      <c r="D19" s="203"/>
      <c r="E19" s="203"/>
      <c r="F19" s="203"/>
      <c r="G19" s="203"/>
      <c r="H19" s="203"/>
      <c r="I19" s="203"/>
      <c r="J19" s="203"/>
      <c r="K19" s="203" t="s">
        <v>66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65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64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83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63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24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29:AA31"/>
    <mergeCell ref="B18:AA18"/>
    <mergeCell ref="B19:J19"/>
    <mergeCell ref="K19:T19"/>
    <mergeCell ref="U19:AA19"/>
    <mergeCell ref="B20:J28"/>
    <mergeCell ref="K20:T28"/>
    <mergeCell ref="C8:AA8"/>
    <mergeCell ref="S10:S11"/>
    <mergeCell ref="T10:T11"/>
    <mergeCell ref="U10:U11"/>
    <mergeCell ref="N10:N11"/>
    <mergeCell ref="L10:L11"/>
    <mergeCell ref="B9:B11"/>
    <mergeCell ref="C9:C11"/>
    <mergeCell ref="D9:AA9"/>
    <mergeCell ref="J10:J11"/>
    <mergeCell ref="K10:K11"/>
    <mergeCell ref="V10:V11"/>
    <mergeCell ref="W10:W11"/>
    <mergeCell ref="X10:X11"/>
    <mergeCell ref="M10:M11"/>
    <mergeCell ref="AB9:AB31"/>
    <mergeCell ref="D10:D11"/>
    <mergeCell ref="F10:F11"/>
    <mergeCell ref="O10:O11"/>
    <mergeCell ref="P10:P11"/>
    <mergeCell ref="Q10:Q11"/>
    <mergeCell ref="R10:R11"/>
    <mergeCell ref="G10:G11"/>
    <mergeCell ref="H10:H11"/>
    <mergeCell ref="I10:I11"/>
    <mergeCell ref="Y10:Y11"/>
    <mergeCell ref="Z10:Z11"/>
    <mergeCell ref="AA10:AA11"/>
    <mergeCell ref="U20:AA28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97" priority="2">
      <formula>F12="x"</formula>
    </cfRule>
  </conditionalFormatting>
  <conditionalFormatting sqref="AA13">
    <cfRule type="expression" dxfId="19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4" zoomScale="85" zoomScaleNormal="85" workbookViewId="0">
      <selection activeCell="AB9" sqref="AB9:AB31"/>
    </sheetView>
  </sheetViews>
  <sheetFormatPr defaultColWidth="9" defaultRowHeight="16.5" outlineLevelRow="1" x14ac:dyDescent="0.3"/>
  <cols>
    <col min="3" max="3" width="8.375" customWidth="1"/>
    <col min="4" max="27" width="6.75" customWidth="1"/>
    <col min="28" max="28" width="33" customWidth="1"/>
  </cols>
  <sheetData>
    <row r="1" spans="2:28" ht="17.25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16.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37.1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1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18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8" thickBot="1" x14ac:dyDescent="0.35">
      <c r="B8" s="2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3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62</v>
      </c>
    </row>
    <row r="10" spans="2:28" ht="19.149999999999999" customHeight="1" x14ac:dyDescent="0.3">
      <c r="B10" s="180"/>
      <c r="C10" s="183"/>
      <c r="D10" s="171" t="s">
        <v>13</v>
      </c>
      <c r="E10" s="16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7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12"/>
      <c r="E12" s="13" t="s">
        <v>38</v>
      </c>
      <c r="F12" s="13" t="s">
        <v>39</v>
      </c>
      <c r="G12" s="13" t="s">
        <v>39</v>
      </c>
      <c r="H12" s="13" t="s">
        <v>39</v>
      </c>
      <c r="I12" s="13" t="s">
        <v>51</v>
      </c>
      <c r="J12" s="13" t="s">
        <v>39</v>
      </c>
      <c r="K12" s="13" t="s">
        <v>39</v>
      </c>
      <c r="L12" s="13" t="s">
        <v>39</v>
      </c>
      <c r="M12" s="13" t="s">
        <v>39</v>
      </c>
      <c r="N12" s="13" t="s">
        <v>39</v>
      </c>
      <c r="O12" s="13" t="s">
        <v>39</v>
      </c>
      <c r="P12" s="13" t="s">
        <v>39</v>
      </c>
      <c r="Q12" s="13" t="s">
        <v>51</v>
      </c>
      <c r="R12" s="13" t="s">
        <v>39</v>
      </c>
      <c r="S12" s="13" t="s">
        <v>39</v>
      </c>
      <c r="T12" s="13" t="s">
        <v>39</v>
      </c>
      <c r="U12" s="13" t="s">
        <v>39</v>
      </c>
      <c r="V12" s="13" t="s">
        <v>52</v>
      </c>
      <c r="W12" s="13" t="s">
        <v>39</v>
      </c>
      <c r="X12" s="13" t="s">
        <v>39</v>
      </c>
      <c r="Y12" s="13" t="s">
        <v>39</v>
      </c>
      <c r="Z12" s="13" t="s">
        <v>39</v>
      </c>
      <c r="AA12" s="14" t="s">
        <v>39</v>
      </c>
      <c r="AB12" s="169"/>
    </row>
    <row r="13" spans="2:28" ht="17.25" collapsed="1" x14ac:dyDescent="0.3">
      <c r="B13" s="189"/>
      <c r="C13" s="191"/>
      <c r="D13" s="8" t="s">
        <v>40</v>
      </c>
      <c r="E13" s="8">
        <f>IF(($V$3-$T$7)/($AA13-$T$7)&gt;1,"100%",IF(($V$3-$T$7)/($AA13-$T$7)&lt;0,"0%",($V$3-$T$7)/($AA13-$T$7)))</f>
        <v>1.3888888888888888E-2</v>
      </c>
      <c r="F13" s="15">
        <f>T7</f>
        <v>44670</v>
      </c>
      <c r="G13" s="15">
        <f>IF(G12="o", F13+3, F13)</f>
        <v>44673</v>
      </c>
      <c r="H13" s="15">
        <f>IF(H12="o", G13+4, G13)</f>
        <v>44677</v>
      </c>
      <c r="I13" s="15">
        <f>IF(I12="o", H13+5, H13)</f>
        <v>44677</v>
      </c>
      <c r="J13" s="15">
        <f>IF(J12="o", I13+1, I13)</f>
        <v>44678</v>
      </c>
      <c r="K13" s="15">
        <f>IF(K12="o", J13+1, J13)</f>
        <v>44679</v>
      </c>
      <c r="L13" s="15">
        <f t="shared" ref="L13" si="0">IF(L12="o", K13+2, K13)</f>
        <v>44681</v>
      </c>
      <c r="M13" s="15">
        <f>IF(M12="o", L13+2, L13)</f>
        <v>44683</v>
      </c>
      <c r="N13" s="15">
        <f>IF(N12="o", M13+2, M13)</f>
        <v>44685</v>
      </c>
      <c r="O13" s="15">
        <f>IF(O12="o", N13+3, N13)</f>
        <v>44688</v>
      </c>
      <c r="P13" s="15">
        <f>IF(P12="o", O13+2, O13)</f>
        <v>44690</v>
      </c>
      <c r="Q13" s="15">
        <f t="shared" ref="Q13" si="1">IF(Q12="o", P13+2, P13)</f>
        <v>44690</v>
      </c>
      <c r="R13" s="15">
        <f>IF(R12="o", Q13+3, Q13)</f>
        <v>44693</v>
      </c>
      <c r="S13" s="15">
        <f t="shared" ref="S13:U13" si="2">IF(S12="o", R13+3, R13)</f>
        <v>44696</v>
      </c>
      <c r="T13" s="15">
        <f t="shared" si="2"/>
        <v>44699</v>
      </c>
      <c r="U13" s="15">
        <f t="shared" si="2"/>
        <v>44702</v>
      </c>
      <c r="V13" s="15">
        <f>IF(V12="o", U13+2, U13)</f>
        <v>44704</v>
      </c>
      <c r="W13" s="15">
        <f>IF(W12="o", V13+7, V13)</f>
        <v>44711</v>
      </c>
      <c r="X13" s="15">
        <f>IF(X12="o", W13+7, W13)</f>
        <v>44718</v>
      </c>
      <c r="Y13" s="15">
        <f>IF(Y12="o", X13+7, X13)</f>
        <v>44725</v>
      </c>
      <c r="Z13" s="15">
        <f>IF(Z12="o", Y13+2, Y13)</f>
        <v>44727</v>
      </c>
      <c r="AA13" s="15">
        <f>AA7</f>
        <v>44742</v>
      </c>
      <c r="AB13" s="169"/>
    </row>
    <row r="14" spans="2:28" ht="17.25" hidden="1" outlineLevel="1" x14ac:dyDescent="0.3">
      <c r="B14" s="189"/>
      <c r="C14" s="191"/>
      <c r="D14" s="4" t="s">
        <v>41</v>
      </c>
      <c r="E14" s="5" t="s">
        <v>42</v>
      </c>
      <c r="F14" s="6">
        <f>F13-$T7</f>
        <v>0</v>
      </c>
      <c r="G14" s="6">
        <f>IF($G$12="o",G13-F13,"0")</f>
        <v>3</v>
      </c>
      <c r="H14" s="6">
        <f>IF($H$12="o",IF($G$12="x",H13-F13,H13-G13),"0")</f>
        <v>4</v>
      </c>
      <c r="I14" s="6" t="str">
        <f>IF($I$12="o",IF($H$12="x",IF($G$12="x",I13-F13,I13-G13),I13-H13),"0")</f>
        <v>0</v>
      </c>
      <c r="J14" s="6">
        <f>IF($J$12="o",IF($I$12="x",IF($H$12="x",IF($G$12="x",J13-F13,J13-G13),J13-H13),J13-I13),"0")</f>
        <v>1</v>
      </c>
      <c r="K14" s="6">
        <f>IF($K$12="o",IF($J$12="x",IF($I$12="x",IF($H$12="x",IF($G$12="x",K13-F13,K13-G13),K13-H13),K13-I13),K13-J13),"0")</f>
        <v>1</v>
      </c>
      <c r="L14" s="6">
        <f>IF($L$12="o",IF($K$12="x",IF($J$12="x",IF($I$12="x",IF($H$12="x",IF($G$12="x",L13-F13,L13-G13),L13-H13),L13-I13),L13-J13),L13-K13),"0")</f>
        <v>2</v>
      </c>
      <c r="M14" s="6">
        <f>IF($M$12="o",IF($L$12="x",IF($K$12="x",IF($J$12="x",IF($I$12="x",IF($H$12="x",IF($G$12="x",M13-F13,M13-G13),M13-H13),M13-I13),M13-J13),M13-K13),M13-L13),"0")</f>
        <v>2</v>
      </c>
      <c r="N14" s="6">
        <f>IF($N$12="o",IF($M$12="x",IF($L$12="x",IF($K$12="x",IF($J$12="x",IF($I$12="x",IF($H$12="x",IF($G$12="x",N13-F13,N13-G13),N13-H13),N13-I13),N13-J13),N13-K13),N13-L13),N13-M13),"0")</f>
        <v>2</v>
      </c>
      <c r="O14" s="6">
        <f>IF($O$12="o",IF($N$12="x",IF($M$12="x",IF($L$12="x",IF($K$12="x",IF($J$12="x",IF($I$12="x",IF($H$12="x",IF($G$12="x",O13-F13,O13-G13),O13-H13),O13-I13),O13-J13),O13-K13),O13-L13),O13-M13),O13-N13),"0")</f>
        <v>3</v>
      </c>
      <c r="P14" s="6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6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6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6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6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6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6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6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6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6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6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6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4" t="s">
        <v>43</v>
      </c>
      <c r="E15" s="193">
        <f>AA13-$T7</f>
        <v>72</v>
      </c>
      <c r="F15" s="7">
        <f>IF(F14/$E$15&gt;1,"100%",IF(F14/$E$15&lt;0,"0%",F14/$E$15))</f>
        <v>0</v>
      </c>
      <c r="G15" s="7">
        <f>IF(G14/$E$15&gt;1,"100%",IF(G14/$E$15&lt;0,"0%",G14/$E$15))</f>
        <v>4.1666666666666664E-2</v>
      </c>
      <c r="H15" s="7">
        <f t="shared" ref="H15:AA15" si="3">IF(H14/$E$15&gt;1,"100%",IF(H14/$E$15&lt;0,"0%",H14/$E$15))</f>
        <v>5.5555555555555552E-2</v>
      </c>
      <c r="I15" s="7">
        <f t="shared" si="3"/>
        <v>0</v>
      </c>
      <c r="J15" s="7">
        <f t="shared" si="3"/>
        <v>1.3888888888888888E-2</v>
      </c>
      <c r="K15" s="7">
        <f t="shared" si="3"/>
        <v>1.3888888888888888E-2</v>
      </c>
      <c r="L15" s="7">
        <f t="shared" si="3"/>
        <v>2.7777777777777776E-2</v>
      </c>
      <c r="M15" s="7">
        <f t="shared" si="3"/>
        <v>2.7777777777777776E-2</v>
      </c>
      <c r="N15" s="7">
        <f t="shared" si="3"/>
        <v>2.7777777777777776E-2</v>
      </c>
      <c r="O15" s="7">
        <f t="shared" si="3"/>
        <v>4.1666666666666664E-2</v>
      </c>
      <c r="P15" s="7">
        <f t="shared" si="3"/>
        <v>2.7777777777777776E-2</v>
      </c>
      <c r="Q15" s="7">
        <f t="shared" si="3"/>
        <v>0</v>
      </c>
      <c r="R15" s="7">
        <f t="shared" si="3"/>
        <v>6.9444444444444448E-2</v>
      </c>
      <c r="S15" s="7">
        <f t="shared" si="3"/>
        <v>4.1666666666666664E-2</v>
      </c>
      <c r="T15" s="7">
        <f t="shared" si="3"/>
        <v>4.1666666666666664E-2</v>
      </c>
      <c r="U15" s="7">
        <f t="shared" si="3"/>
        <v>4.1666666666666664E-2</v>
      </c>
      <c r="V15" s="7">
        <f t="shared" si="3"/>
        <v>2.7777777777777776E-2</v>
      </c>
      <c r="W15" s="7">
        <f t="shared" si="3"/>
        <v>9.7222222222222224E-2</v>
      </c>
      <c r="X15" s="7">
        <f t="shared" si="3"/>
        <v>9.7222222222222224E-2</v>
      </c>
      <c r="Y15" s="7">
        <f t="shared" si="3"/>
        <v>9.7222222222222224E-2</v>
      </c>
      <c r="Z15" s="7">
        <f t="shared" si="3"/>
        <v>2.7777777777777776E-2</v>
      </c>
      <c r="AA15" s="7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4" t="s">
        <v>44</v>
      </c>
      <c r="E16" s="194"/>
      <c r="F16" s="7">
        <f>F15*F17</f>
        <v>0</v>
      </c>
      <c r="G16" s="7">
        <f t="shared" ref="G16:AA16" si="4">G15*G17</f>
        <v>4.1666666666666664E-2</v>
      </c>
      <c r="H16" s="7">
        <f t="shared" si="4"/>
        <v>0</v>
      </c>
      <c r="I16" s="7">
        <f t="shared" si="4"/>
        <v>0</v>
      </c>
      <c r="J16" s="7">
        <f t="shared" si="4"/>
        <v>0</v>
      </c>
      <c r="K16" s="7">
        <f t="shared" si="4"/>
        <v>0</v>
      </c>
      <c r="L16" s="7">
        <f t="shared" si="4"/>
        <v>0</v>
      </c>
      <c r="M16" s="7">
        <f t="shared" si="4"/>
        <v>0</v>
      </c>
      <c r="N16" s="7">
        <f t="shared" si="4"/>
        <v>0</v>
      </c>
      <c r="O16" s="7">
        <f t="shared" si="4"/>
        <v>0</v>
      </c>
      <c r="P16" s="7">
        <f t="shared" si="4"/>
        <v>0</v>
      </c>
      <c r="Q16" s="7">
        <f t="shared" si="4"/>
        <v>0</v>
      </c>
      <c r="R16" s="7">
        <f t="shared" si="4"/>
        <v>0</v>
      </c>
      <c r="S16" s="7">
        <f t="shared" si="4"/>
        <v>0</v>
      </c>
      <c r="T16" s="7">
        <f t="shared" si="4"/>
        <v>0</v>
      </c>
      <c r="U16" s="7">
        <f t="shared" si="4"/>
        <v>0</v>
      </c>
      <c r="V16" s="7">
        <f t="shared" si="4"/>
        <v>0</v>
      </c>
      <c r="W16" s="7">
        <f t="shared" si="4"/>
        <v>0</v>
      </c>
      <c r="X16" s="7">
        <f t="shared" si="4"/>
        <v>0</v>
      </c>
      <c r="Y16" s="7">
        <f t="shared" si="4"/>
        <v>0</v>
      </c>
      <c r="Z16" s="7">
        <f t="shared" si="4"/>
        <v>0</v>
      </c>
      <c r="AA16" s="7">
        <f t="shared" si="4"/>
        <v>0</v>
      </c>
      <c r="AB16" s="169"/>
    </row>
    <row r="17" spans="2:28" ht="17.25" x14ac:dyDescent="0.3">
      <c r="B17" s="189"/>
      <c r="C17" s="192"/>
      <c r="D17" s="8" t="s">
        <v>45</v>
      </c>
      <c r="E17" s="8">
        <f>SUMIF($F$12:$Z$12,"o",F16:Z16)</f>
        <v>4.1666666666666664E-2</v>
      </c>
      <c r="F17" s="9">
        <v>1</v>
      </c>
      <c r="G17" s="9">
        <v>1</v>
      </c>
      <c r="H17" s="9"/>
      <c r="I17" s="9"/>
      <c r="J17" s="9"/>
      <c r="K17" s="10"/>
      <c r="L17" s="10"/>
      <c r="M17" s="10"/>
      <c r="N17" s="9"/>
      <c r="O17" s="9"/>
      <c r="P17" s="9"/>
      <c r="Q17" s="9"/>
      <c r="R17" s="9"/>
      <c r="S17" s="9"/>
      <c r="T17" s="10"/>
      <c r="U17" s="10"/>
      <c r="V17" s="10"/>
      <c r="W17" s="10"/>
      <c r="X17" s="9"/>
      <c r="Y17" s="9"/>
      <c r="Z17" s="9"/>
      <c r="AA17" s="11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61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83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24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B9:B11"/>
    <mergeCell ref="C9:C11"/>
    <mergeCell ref="D9:AA9"/>
    <mergeCell ref="AB9:AB31"/>
    <mergeCell ref="D10:D11"/>
    <mergeCell ref="F10:F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V10:V11"/>
    <mergeCell ref="W10:W11"/>
    <mergeCell ref="X10:X11"/>
    <mergeCell ref="M10:M11"/>
    <mergeCell ref="C8:AA8"/>
    <mergeCell ref="S10:S11"/>
    <mergeCell ref="T10:T11"/>
    <mergeCell ref="U10:U11"/>
    <mergeCell ref="N10:N11"/>
    <mergeCell ref="L10:L11"/>
    <mergeCell ref="Y10:Y11"/>
    <mergeCell ref="Z10:Z11"/>
    <mergeCell ref="AA10:AA11"/>
    <mergeCell ref="B12:B17"/>
    <mergeCell ref="C12:C17"/>
    <mergeCell ref="E15:E16"/>
    <mergeCell ref="B29:AA31"/>
    <mergeCell ref="B18:AA18"/>
    <mergeCell ref="B19:J19"/>
    <mergeCell ref="K19:T19"/>
    <mergeCell ref="U19:AA19"/>
    <mergeCell ref="B20:J28"/>
    <mergeCell ref="K20:T28"/>
    <mergeCell ref="U20:AA28"/>
  </mergeCells>
  <phoneticPr fontId="3" type="noConversion"/>
  <conditionalFormatting sqref="F13:Z13">
    <cfRule type="expression" dxfId="195" priority="4">
      <formula>F12="x"</formula>
    </cfRule>
  </conditionalFormatting>
  <conditionalFormatting sqref="AA13">
    <cfRule type="expression" dxfId="194" priority="3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85" zoomScaleNormal="85" workbookViewId="0">
      <selection activeCell="K20" sqref="K20:T28"/>
    </sheetView>
  </sheetViews>
  <sheetFormatPr defaultColWidth="9" defaultRowHeight="16.5" outlineLevelRow="1" x14ac:dyDescent="0.3"/>
  <cols>
    <col min="3" max="3" width="8.375" customWidth="1"/>
    <col min="4" max="27" width="6.75" customWidth="1"/>
    <col min="28" max="28" width="33" customWidth="1"/>
  </cols>
  <sheetData>
    <row r="1" spans="2:28" ht="17.25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16.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44672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37.1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1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18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8" thickBot="1" x14ac:dyDescent="0.35">
      <c r="B8" s="2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3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83</v>
      </c>
    </row>
    <row r="10" spans="2:28" ht="19.149999999999999" customHeight="1" x14ac:dyDescent="0.3">
      <c r="B10" s="180"/>
      <c r="C10" s="183"/>
      <c r="D10" s="171" t="s">
        <v>13</v>
      </c>
      <c r="E10" s="1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2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12"/>
      <c r="E12" s="13" t="s">
        <v>38</v>
      </c>
      <c r="F12" s="13" t="s">
        <v>39</v>
      </c>
      <c r="G12" s="13" t="s">
        <v>39</v>
      </c>
      <c r="H12" s="13" t="s">
        <v>39</v>
      </c>
      <c r="I12" s="13" t="s">
        <v>51</v>
      </c>
      <c r="J12" s="13" t="s">
        <v>39</v>
      </c>
      <c r="K12" s="13" t="s">
        <v>39</v>
      </c>
      <c r="L12" s="13" t="s">
        <v>39</v>
      </c>
      <c r="M12" s="13" t="s">
        <v>39</v>
      </c>
      <c r="N12" s="13" t="s">
        <v>39</v>
      </c>
      <c r="O12" s="13" t="s">
        <v>39</v>
      </c>
      <c r="P12" s="13" t="s">
        <v>39</v>
      </c>
      <c r="Q12" s="13" t="s">
        <v>51</v>
      </c>
      <c r="R12" s="13" t="s">
        <v>39</v>
      </c>
      <c r="S12" s="13" t="s">
        <v>39</v>
      </c>
      <c r="T12" s="13" t="s">
        <v>39</v>
      </c>
      <c r="U12" s="13" t="s">
        <v>39</v>
      </c>
      <c r="V12" s="13" t="s">
        <v>52</v>
      </c>
      <c r="W12" s="13" t="s">
        <v>39</v>
      </c>
      <c r="X12" s="13" t="s">
        <v>39</v>
      </c>
      <c r="Y12" s="13" t="s">
        <v>39</v>
      </c>
      <c r="Z12" s="13" t="s">
        <v>39</v>
      </c>
      <c r="AA12" s="14" t="s">
        <v>39</v>
      </c>
      <c r="AB12" s="169"/>
    </row>
    <row r="13" spans="2:28" ht="17.25" collapsed="1" x14ac:dyDescent="0.3">
      <c r="B13" s="189"/>
      <c r="C13" s="191"/>
      <c r="D13" s="8" t="s">
        <v>40</v>
      </c>
      <c r="E13" s="8">
        <f>IF(($V$3-$T$7)/($AA13-$T$7)&gt;1,"100%",IF(($V$3-$T$7)/($AA13-$T$7)&lt;0,"0%",($V$3-$T$7)/($AA13-$T$7)))</f>
        <v>2.7777777777777776E-2</v>
      </c>
      <c r="F13" s="15">
        <f>T7</f>
        <v>44670</v>
      </c>
      <c r="G13" s="15">
        <f>IF(G12="o", F13+3, F13)</f>
        <v>44673</v>
      </c>
      <c r="H13" s="15">
        <f>IF(H12="o", G13+4, G13)</f>
        <v>44677</v>
      </c>
      <c r="I13" s="15">
        <f>IF(I12="o", H13+5, H13)</f>
        <v>44677</v>
      </c>
      <c r="J13" s="15">
        <f>IF(J12="o", I13+1, I13)</f>
        <v>44678</v>
      </c>
      <c r="K13" s="15">
        <f>IF(K12="o", J13+1, J13)</f>
        <v>44679</v>
      </c>
      <c r="L13" s="15">
        <f t="shared" ref="L13" si="0">IF(L12="o", K13+2, K13)</f>
        <v>44681</v>
      </c>
      <c r="M13" s="15">
        <f>IF(M12="o", L13+2, L13)</f>
        <v>44683</v>
      </c>
      <c r="N13" s="15">
        <f>IF(N12="o", M13+2, M13)</f>
        <v>44685</v>
      </c>
      <c r="O13" s="15">
        <f>IF(O12="o", N13+3, N13)</f>
        <v>44688</v>
      </c>
      <c r="P13" s="15">
        <f>IF(P12="o", O13+2, O13)</f>
        <v>44690</v>
      </c>
      <c r="Q13" s="15">
        <f t="shared" ref="Q13" si="1">IF(Q12="o", P13+2, P13)</f>
        <v>44690</v>
      </c>
      <c r="R13" s="15">
        <f>IF(R12="o", Q13+3, Q13)</f>
        <v>44693</v>
      </c>
      <c r="S13" s="15">
        <f t="shared" ref="S13:U13" si="2">IF(S12="o", R13+3, R13)</f>
        <v>44696</v>
      </c>
      <c r="T13" s="15">
        <f t="shared" si="2"/>
        <v>44699</v>
      </c>
      <c r="U13" s="15">
        <f t="shared" si="2"/>
        <v>44702</v>
      </c>
      <c r="V13" s="15">
        <f>IF(V12="o", U13+2, U13)</f>
        <v>44704</v>
      </c>
      <c r="W13" s="15">
        <f>IF(W12="o", V13+7, V13)</f>
        <v>44711</v>
      </c>
      <c r="X13" s="15">
        <f>IF(X12="o", W13+7, W13)</f>
        <v>44718</v>
      </c>
      <c r="Y13" s="15">
        <f>IF(Y12="o", X13+7, X13)</f>
        <v>44725</v>
      </c>
      <c r="Z13" s="15">
        <f>IF(Z12="o", Y13+2, Y13)</f>
        <v>44727</v>
      </c>
      <c r="AA13" s="15">
        <f>AA7</f>
        <v>44742</v>
      </c>
      <c r="AB13" s="169"/>
    </row>
    <row r="14" spans="2:28" ht="17.25" hidden="1" outlineLevel="1" x14ac:dyDescent="0.3">
      <c r="B14" s="189"/>
      <c r="C14" s="191"/>
      <c r="D14" s="4" t="s">
        <v>41</v>
      </c>
      <c r="E14" s="5" t="s">
        <v>42</v>
      </c>
      <c r="F14" s="6">
        <f>F13-$T7</f>
        <v>0</v>
      </c>
      <c r="G14" s="6">
        <f>IF($G$12="o",G13-F13,"0")</f>
        <v>3</v>
      </c>
      <c r="H14" s="6">
        <f>IF($H$12="o",IF($G$12="x",H13-F13,H13-G13),"0")</f>
        <v>4</v>
      </c>
      <c r="I14" s="6" t="str">
        <f>IF($I$12="o",IF($H$12="x",IF($G$12="x",I13-F13,I13-G13),I13-H13),"0")</f>
        <v>0</v>
      </c>
      <c r="J14" s="6">
        <f>IF($J$12="o",IF($I$12="x",IF($H$12="x",IF($G$12="x",J13-F13,J13-G13),J13-H13),J13-I13),"0")</f>
        <v>1</v>
      </c>
      <c r="K14" s="6">
        <f>IF($K$12="o",IF($J$12="x",IF($I$12="x",IF($H$12="x",IF($G$12="x",K13-F13,K13-G13),K13-H13),K13-I13),K13-J13),"0")</f>
        <v>1</v>
      </c>
      <c r="L14" s="6">
        <f>IF($L$12="o",IF($K$12="x",IF($J$12="x",IF($I$12="x",IF($H$12="x",IF($G$12="x",L13-F13,L13-G13),L13-H13),L13-I13),L13-J13),L13-K13),"0")</f>
        <v>2</v>
      </c>
      <c r="M14" s="6">
        <f>IF($M$12="o",IF($L$12="x",IF($K$12="x",IF($J$12="x",IF($I$12="x",IF($H$12="x",IF($G$12="x",M13-F13,M13-G13),M13-H13),M13-I13),M13-J13),M13-K13),M13-L13),"0")</f>
        <v>2</v>
      </c>
      <c r="N14" s="6">
        <f>IF($N$12="o",IF($M$12="x",IF($L$12="x",IF($K$12="x",IF($J$12="x",IF($I$12="x",IF($H$12="x",IF($G$12="x",N13-F13,N13-G13),N13-H13),N13-I13),N13-J13),N13-K13),N13-L13),N13-M13),"0")</f>
        <v>2</v>
      </c>
      <c r="O14" s="6">
        <f>IF($O$12="o",IF($N$12="x",IF($M$12="x",IF($L$12="x",IF($K$12="x",IF($J$12="x",IF($I$12="x",IF($H$12="x",IF($G$12="x",O13-F13,O13-G13),O13-H13),O13-I13),O13-J13),O13-K13),O13-L13),O13-M13),O13-N13),"0")</f>
        <v>3</v>
      </c>
      <c r="P14" s="6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6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6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6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6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6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6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6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6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6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6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6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4" t="s">
        <v>43</v>
      </c>
      <c r="E15" s="193">
        <f>AA13-$T7</f>
        <v>72</v>
      </c>
      <c r="F15" s="7">
        <f>IF(F14/$E$15&gt;1,"100%",IF(F14/$E$15&lt;0,"0%",F14/$E$15))</f>
        <v>0</v>
      </c>
      <c r="G15" s="7">
        <f>IF(G14/$E$15&gt;1,"100%",IF(G14/$E$15&lt;0,"0%",G14/$E$15))</f>
        <v>4.1666666666666664E-2</v>
      </c>
      <c r="H15" s="7">
        <f t="shared" ref="H15:AA15" si="3">IF(H14/$E$15&gt;1,"100%",IF(H14/$E$15&lt;0,"0%",H14/$E$15))</f>
        <v>5.5555555555555552E-2</v>
      </c>
      <c r="I15" s="7">
        <f t="shared" si="3"/>
        <v>0</v>
      </c>
      <c r="J15" s="7">
        <f t="shared" si="3"/>
        <v>1.3888888888888888E-2</v>
      </c>
      <c r="K15" s="7">
        <f t="shared" si="3"/>
        <v>1.3888888888888888E-2</v>
      </c>
      <c r="L15" s="7">
        <f t="shared" si="3"/>
        <v>2.7777777777777776E-2</v>
      </c>
      <c r="M15" s="7">
        <f t="shared" si="3"/>
        <v>2.7777777777777776E-2</v>
      </c>
      <c r="N15" s="7">
        <f t="shared" si="3"/>
        <v>2.7777777777777776E-2</v>
      </c>
      <c r="O15" s="7">
        <f t="shared" si="3"/>
        <v>4.1666666666666664E-2</v>
      </c>
      <c r="P15" s="7">
        <f t="shared" si="3"/>
        <v>2.7777777777777776E-2</v>
      </c>
      <c r="Q15" s="7">
        <f t="shared" si="3"/>
        <v>0</v>
      </c>
      <c r="R15" s="7">
        <f t="shared" si="3"/>
        <v>6.9444444444444448E-2</v>
      </c>
      <c r="S15" s="7">
        <f t="shared" si="3"/>
        <v>4.1666666666666664E-2</v>
      </c>
      <c r="T15" s="7">
        <f t="shared" si="3"/>
        <v>4.1666666666666664E-2</v>
      </c>
      <c r="U15" s="7">
        <f t="shared" si="3"/>
        <v>4.1666666666666664E-2</v>
      </c>
      <c r="V15" s="7">
        <f t="shared" si="3"/>
        <v>2.7777777777777776E-2</v>
      </c>
      <c r="W15" s="7">
        <f t="shared" si="3"/>
        <v>9.7222222222222224E-2</v>
      </c>
      <c r="X15" s="7">
        <f t="shared" si="3"/>
        <v>9.7222222222222224E-2</v>
      </c>
      <c r="Y15" s="7">
        <f t="shared" si="3"/>
        <v>9.7222222222222224E-2</v>
      </c>
      <c r="Z15" s="7">
        <f t="shared" si="3"/>
        <v>2.7777777777777776E-2</v>
      </c>
      <c r="AA15" s="7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4" t="s">
        <v>44</v>
      </c>
      <c r="E16" s="194"/>
      <c r="F16" s="7">
        <f>F15*F17</f>
        <v>0</v>
      </c>
      <c r="G16" s="7">
        <f t="shared" ref="G16:AA16" si="4">G15*G17</f>
        <v>4.1666666666666664E-2</v>
      </c>
      <c r="H16" s="7">
        <f t="shared" si="4"/>
        <v>5.5555555555555552E-2</v>
      </c>
      <c r="I16" s="7">
        <f t="shared" si="4"/>
        <v>0</v>
      </c>
      <c r="J16" s="7">
        <f t="shared" si="4"/>
        <v>6.9444444444444441E-3</v>
      </c>
      <c r="K16" s="7">
        <f t="shared" si="4"/>
        <v>0</v>
      </c>
      <c r="L16" s="7">
        <f t="shared" si="4"/>
        <v>0</v>
      </c>
      <c r="M16" s="7">
        <f t="shared" si="4"/>
        <v>0</v>
      </c>
      <c r="N16" s="7">
        <f t="shared" si="4"/>
        <v>0</v>
      </c>
      <c r="O16" s="7">
        <f t="shared" si="4"/>
        <v>0</v>
      </c>
      <c r="P16" s="7">
        <f t="shared" si="4"/>
        <v>0</v>
      </c>
      <c r="Q16" s="7">
        <f t="shared" si="4"/>
        <v>0</v>
      </c>
      <c r="R16" s="7">
        <f t="shared" si="4"/>
        <v>0</v>
      </c>
      <c r="S16" s="7">
        <f t="shared" si="4"/>
        <v>0</v>
      </c>
      <c r="T16" s="7">
        <f t="shared" si="4"/>
        <v>0</v>
      </c>
      <c r="U16" s="7">
        <f t="shared" si="4"/>
        <v>0</v>
      </c>
      <c r="V16" s="7">
        <f t="shared" si="4"/>
        <v>0</v>
      </c>
      <c r="W16" s="7">
        <f t="shared" si="4"/>
        <v>0</v>
      </c>
      <c r="X16" s="7">
        <f t="shared" si="4"/>
        <v>0</v>
      </c>
      <c r="Y16" s="7">
        <f t="shared" si="4"/>
        <v>0</v>
      </c>
      <c r="Z16" s="7">
        <f t="shared" si="4"/>
        <v>0</v>
      </c>
      <c r="AA16" s="7">
        <f t="shared" si="4"/>
        <v>0</v>
      </c>
      <c r="AB16" s="169"/>
    </row>
    <row r="17" spans="2:28" ht="17.25" x14ac:dyDescent="0.3">
      <c r="B17" s="189"/>
      <c r="C17" s="192"/>
      <c r="D17" s="8" t="s">
        <v>45</v>
      </c>
      <c r="E17" s="8">
        <f>SUMIF($F$12:$Z$12,"o",F16:Z16)</f>
        <v>0.10416666666666666</v>
      </c>
      <c r="F17" s="9">
        <v>1</v>
      </c>
      <c r="G17" s="9">
        <v>1</v>
      </c>
      <c r="H17" s="9">
        <v>1</v>
      </c>
      <c r="I17" s="9"/>
      <c r="J17" s="9">
        <v>0.5</v>
      </c>
      <c r="K17" s="10"/>
      <c r="L17" s="10"/>
      <c r="M17" s="10"/>
      <c r="N17" s="9"/>
      <c r="O17" s="9"/>
      <c r="P17" s="9"/>
      <c r="Q17" s="9"/>
      <c r="R17" s="9"/>
      <c r="S17" s="9"/>
      <c r="T17" s="10"/>
      <c r="U17" s="10"/>
      <c r="V17" s="10"/>
      <c r="W17" s="10"/>
      <c r="X17" s="9"/>
      <c r="Y17" s="9"/>
      <c r="Z17" s="9"/>
      <c r="AA17" s="11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84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83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24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93" priority="2">
      <formula>F12="x"</formula>
    </cfRule>
  </conditionalFormatting>
  <conditionalFormatting sqref="AA13">
    <cfRule type="expression" dxfId="19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4" zoomScale="85" zoomScaleNormal="85" workbookViewId="0">
      <selection activeCell="AG21" sqref="AG21"/>
    </sheetView>
  </sheetViews>
  <sheetFormatPr defaultColWidth="9" defaultRowHeight="16.5" outlineLevelRow="1" x14ac:dyDescent="0.3"/>
  <cols>
    <col min="3" max="3" width="8.375" customWidth="1"/>
    <col min="4" max="27" width="6.75" customWidth="1"/>
    <col min="28" max="28" width="33" customWidth="1"/>
  </cols>
  <sheetData>
    <row r="1" spans="2:28" ht="17.25" thickBot="1" x14ac:dyDescent="0.35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2:28" ht="16.5" customHeight="1" thickBot="1" x14ac:dyDescent="0.35">
      <c r="B2" s="127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88</v>
      </c>
      <c r="W2" s="137"/>
      <c r="X2" s="138" t="s">
        <v>1</v>
      </c>
      <c r="Y2" s="138"/>
      <c r="Z2" s="138"/>
      <c r="AA2" s="138" t="s">
        <v>89</v>
      </c>
      <c r="AB2" s="139"/>
    </row>
    <row r="3" spans="2:28" ht="16.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44673</v>
      </c>
      <c r="W3" s="141"/>
      <c r="X3" s="146" t="s">
        <v>90</v>
      </c>
      <c r="Y3" s="146"/>
      <c r="Z3" s="146"/>
      <c r="AA3" s="149" t="s">
        <v>91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37.1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92</v>
      </c>
      <c r="U6" s="157"/>
      <c r="V6" s="155" t="s">
        <v>93</v>
      </c>
      <c r="W6" s="156"/>
      <c r="X6" s="156"/>
      <c r="Y6" s="156"/>
      <c r="Z6" s="156"/>
      <c r="AA6" s="158" t="s">
        <v>94</v>
      </c>
      <c r="AB6" s="159"/>
    </row>
    <row r="7" spans="2:28" ht="18" customHeight="1" thickBot="1" x14ac:dyDescent="0.35">
      <c r="B7" s="41" t="s">
        <v>95</v>
      </c>
      <c r="C7" s="160" t="s">
        <v>96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8" thickBot="1" x14ac:dyDescent="0.35">
      <c r="B8" s="25" t="s">
        <v>97</v>
      </c>
      <c r="C8" s="158" t="s">
        <v>98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99</v>
      </c>
    </row>
    <row r="9" spans="2:28" ht="15" customHeight="1" x14ac:dyDescent="0.3">
      <c r="B9" s="179" t="s">
        <v>11</v>
      </c>
      <c r="C9" s="182" t="s">
        <v>4</v>
      </c>
      <c r="D9" s="185" t="s">
        <v>100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101</v>
      </c>
    </row>
    <row r="10" spans="2:28" ht="19.149999999999999" customHeight="1" x14ac:dyDescent="0.3">
      <c r="B10" s="180"/>
      <c r="C10" s="183"/>
      <c r="D10" s="171" t="s">
        <v>102</v>
      </c>
      <c r="E10" s="39" t="s">
        <v>103</v>
      </c>
      <c r="F10" s="173" t="s">
        <v>104</v>
      </c>
      <c r="G10" s="173" t="s">
        <v>105</v>
      </c>
      <c r="H10" s="173" t="s">
        <v>106</v>
      </c>
      <c r="I10" s="173" t="s">
        <v>107</v>
      </c>
      <c r="J10" s="173" t="s">
        <v>108</v>
      </c>
      <c r="K10" s="173" t="s">
        <v>109</v>
      </c>
      <c r="L10" s="173" t="s">
        <v>110</v>
      </c>
      <c r="M10" s="173" t="s">
        <v>111</v>
      </c>
      <c r="N10" s="173" t="s">
        <v>112</v>
      </c>
      <c r="O10" s="173" t="s">
        <v>113</v>
      </c>
      <c r="P10" s="173" t="s">
        <v>114</v>
      </c>
      <c r="Q10" s="171" t="s">
        <v>115</v>
      </c>
      <c r="R10" s="171" t="s">
        <v>116</v>
      </c>
      <c r="S10" s="171" t="s">
        <v>117</v>
      </c>
      <c r="T10" s="171" t="s">
        <v>118</v>
      </c>
      <c r="U10" s="171" t="s">
        <v>119</v>
      </c>
      <c r="V10" s="171" t="s">
        <v>120</v>
      </c>
      <c r="W10" s="171" t="s">
        <v>121</v>
      </c>
      <c r="X10" s="171" t="s">
        <v>122</v>
      </c>
      <c r="Y10" s="173" t="s">
        <v>123</v>
      </c>
      <c r="Z10" s="173" t="s">
        <v>124</v>
      </c>
      <c r="AA10" s="175" t="s">
        <v>125</v>
      </c>
      <c r="AB10" s="169"/>
    </row>
    <row r="11" spans="2:28" ht="18" customHeight="1" thickBot="1" x14ac:dyDescent="0.35">
      <c r="B11" s="181"/>
      <c r="C11" s="184"/>
      <c r="D11" s="172"/>
      <c r="E11" s="40" t="s">
        <v>126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127</v>
      </c>
      <c r="C12" s="190" t="s">
        <v>128</v>
      </c>
      <c r="D12" s="35"/>
      <c r="E12" s="36" t="s">
        <v>129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39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130</v>
      </c>
      <c r="E13" s="31">
        <v>4.1666666666666664E-2</v>
      </c>
      <c r="F13" s="38">
        <v>44670</v>
      </c>
      <c r="G13" s="38">
        <v>44673</v>
      </c>
      <c r="H13" s="38">
        <v>44677</v>
      </c>
      <c r="I13" s="38">
        <v>44677</v>
      </c>
      <c r="J13" s="38">
        <v>44678</v>
      </c>
      <c r="K13" s="38">
        <v>44679</v>
      </c>
      <c r="L13" s="38">
        <v>44681</v>
      </c>
      <c r="M13" s="38">
        <v>44683</v>
      </c>
      <c r="N13" s="38">
        <v>44685</v>
      </c>
      <c r="O13" s="38">
        <v>44688</v>
      </c>
      <c r="P13" s="38">
        <v>44690</v>
      </c>
      <c r="Q13" s="38">
        <v>44690</v>
      </c>
      <c r="R13" s="38">
        <v>44693</v>
      </c>
      <c r="S13" s="38">
        <v>44696</v>
      </c>
      <c r="T13" s="38">
        <v>44699</v>
      </c>
      <c r="U13" s="38">
        <v>44702</v>
      </c>
      <c r="V13" s="38">
        <v>44704</v>
      </c>
      <c r="W13" s="38">
        <v>44711</v>
      </c>
      <c r="X13" s="38">
        <v>44718</v>
      </c>
      <c r="Y13" s="38">
        <v>44725</v>
      </c>
      <c r="Z13" s="38">
        <v>44727</v>
      </c>
      <c r="AA13" s="38">
        <v>44742</v>
      </c>
      <c r="AB13" s="169"/>
    </row>
    <row r="14" spans="2:28" ht="17.25" hidden="1" customHeight="1" outlineLevel="1" x14ac:dyDescent="0.3">
      <c r="B14" s="189"/>
      <c r="C14" s="191"/>
      <c r="D14" s="27" t="s">
        <v>131</v>
      </c>
      <c r="E14" s="28" t="s">
        <v>132</v>
      </c>
      <c r="F14" s="29">
        <v>0</v>
      </c>
      <c r="G14" s="29">
        <v>3</v>
      </c>
      <c r="H14" s="29">
        <v>4</v>
      </c>
      <c r="I14" s="29" t="s">
        <v>133</v>
      </c>
      <c r="J14" s="29">
        <v>1</v>
      </c>
      <c r="K14" s="29">
        <v>1</v>
      </c>
      <c r="L14" s="29">
        <v>2</v>
      </c>
      <c r="M14" s="29">
        <v>2</v>
      </c>
      <c r="N14" s="29">
        <v>2</v>
      </c>
      <c r="O14" s="29">
        <v>3</v>
      </c>
      <c r="P14" s="29">
        <v>2</v>
      </c>
      <c r="Q14" s="29" t="s">
        <v>133</v>
      </c>
      <c r="R14" s="29">
        <v>5</v>
      </c>
      <c r="S14" s="29">
        <v>3</v>
      </c>
      <c r="T14" s="29">
        <v>3</v>
      </c>
      <c r="U14" s="29">
        <v>3</v>
      </c>
      <c r="V14" s="29">
        <v>2</v>
      </c>
      <c r="W14" s="29">
        <v>7</v>
      </c>
      <c r="X14" s="29">
        <v>7</v>
      </c>
      <c r="Y14" s="29">
        <v>7</v>
      </c>
      <c r="Z14" s="29">
        <v>2</v>
      </c>
      <c r="AA14" s="29">
        <v>15</v>
      </c>
      <c r="AB14" s="169"/>
    </row>
    <row r="15" spans="2:28" ht="17.25" hidden="1" customHeight="1" outlineLevel="1" x14ac:dyDescent="0.3">
      <c r="B15" s="189"/>
      <c r="C15" s="191"/>
      <c r="D15" s="27" t="s">
        <v>134</v>
      </c>
      <c r="E15" s="193">
        <v>72</v>
      </c>
      <c r="F15" s="30">
        <v>0</v>
      </c>
      <c r="G15" s="30">
        <v>4.1666666666666664E-2</v>
      </c>
      <c r="H15" s="30">
        <v>5.5555555555555552E-2</v>
      </c>
      <c r="I15" s="30">
        <v>0</v>
      </c>
      <c r="J15" s="30">
        <v>1.3888888888888888E-2</v>
      </c>
      <c r="K15" s="30">
        <v>1.3888888888888888E-2</v>
      </c>
      <c r="L15" s="30">
        <v>2.7777777777777776E-2</v>
      </c>
      <c r="M15" s="30">
        <v>2.7777777777777776E-2</v>
      </c>
      <c r="N15" s="30">
        <v>2.7777777777777776E-2</v>
      </c>
      <c r="O15" s="30">
        <v>4.1666666666666664E-2</v>
      </c>
      <c r="P15" s="30">
        <v>2.7777777777777776E-2</v>
      </c>
      <c r="Q15" s="30">
        <v>0</v>
      </c>
      <c r="R15" s="30">
        <v>6.9444444444444448E-2</v>
      </c>
      <c r="S15" s="30">
        <v>4.1666666666666664E-2</v>
      </c>
      <c r="T15" s="30">
        <v>4.1666666666666664E-2</v>
      </c>
      <c r="U15" s="30">
        <v>4.1666666666666664E-2</v>
      </c>
      <c r="V15" s="30">
        <v>2.7777777777777776E-2</v>
      </c>
      <c r="W15" s="30">
        <v>9.7222222222222224E-2</v>
      </c>
      <c r="X15" s="30">
        <v>9.7222222222222224E-2</v>
      </c>
      <c r="Y15" s="30">
        <v>9.7222222222222224E-2</v>
      </c>
      <c r="Z15" s="30">
        <v>2.7777777777777776E-2</v>
      </c>
      <c r="AA15" s="30">
        <v>0.20833333333333334</v>
      </c>
      <c r="AB15" s="169"/>
    </row>
    <row r="16" spans="2:28" ht="17.25" hidden="1" customHeight="1" outlineLevel="1" x14ac:dyDescent="0.3">
      <c r="B16" s="189"/>
      <c r="C16" s="191"/>
      <c r="D16" s="27" t="s">
        <v>135</v>
      </c>
      <c r="E16" s="194"/>
      <c r="F16" s="30">
        <v>0</v>
      </c>
      <c r="G16" s="30">
        <v>4.1666666666666664E-2</v>
      </c>
      <c r="H16" s="30">
        <v>5.5555555555555552E-2</v>
      </c>
      <c r="I16" s="30">
        <v>0</v>
      </c>
      <c r="J16" s="30">
        <v>6.9444444444444441E-3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169"/>
    </row>
    <row r="17" spans="2:28" ht="17.25" x14ac:dyDescent="0.3">
      <c r="B17" s="189"/>
      <c r="C17" s="192"/>
      <c r="D17" s="31" t="s">
        <v>136</v>
      </c>
      <c r="E17" s="31">
        <v>0.10416666666666666</v>
      </c>
      <c r="F17" s="32">
        <v>1</v>
      </c>
      <c r="G17" s="32">
        <v>1</v>
      </c>
      <c r="H17" s="32">
        <v>1</v>
      </c>
      <c r="I17" s="32"/>
      <c r="J17" s="32">
        <v>0.5</v>
      </c>
      <c r="K17" s="33"/>
      <c r="L17" s="33"/>
      <c r="M17" s="33"/>
      <c r="N17" s="32"/>
      <c r="O17" s="32"/>
      <c r="P17" s="32"/>
      <c r="Q17" s="32"/>
      <c r="R17" s="32"/>
      <c r="S17" s="32"/>
      <c r="T17" s="33"/>
      <c r="U17" s="33"/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137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138</v>
      </c>
      <c r="C19" s="203"/>
      <c r="D19" s="203"/>
      <c r="E19" s="203"/>
      <c r="F19" s="203"/>
      <c r="G19" s="203"/>
      <c r="H19" s="203"/>
      <c r="I19" s="203"/>
      <c r="J19" s="203"/>
      <c r="K19" s="203" t="s">
        <v>139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140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141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83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142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24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91" priority="2">
      <formula>F12="x"</formula>
    </cfRule>
  </conditionalFormatting>
  <conditionalFormatting sqref="AA13">
    <cfRule type="expression" dxfId="19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85" zoomScaleNormal="85" workbookViewId="0">
      <selection activeCell="B19" sqref="B19:J19"/>
    </sheetView>
  </sheetViews>
  <sheetFormatPr defaultColWidth="9" defaultRowHeight="16.5" outlineLevelRow="1" x14ac:dyDescent="0.3"/>
  <cols>
    <col min="3" max="3" width="8.375" customWidth="1"/>
    <col min="4" max="27" width="6.75" customWidth="1"/>
    <col min="28" max="28" width="33" customWidth="1"/>
  </cols>
  <sheetData>
    <row r="1" spans="2:28" ht="17.25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16.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37.1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1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18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8" thickBot="1" x14ac:dyDescent="0.35">
      <c r="B8" s="2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3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85</v>
      </c>
    </row>
    <row r="10" spans="2:28" ht="19.149999999999999" customHeight="1" x14ac:dyDescent="0.3">
      <c r="B10" s="180"/>
      <c r="C10" s="183"/>
      <c r="D10" s="171" t="s">
        <v>13</v>
      </c>
      <c r="E10" s="2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2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12"/>
      <c r="E12" s="13" t="s">
        <v>38</v>
      </c>
      <c r="F12" s="13" t="s">
        <v>39</v>
      </c>
      <c r="G12" s="13" t="s">
        <v>39</v>
      </c>
      <c r="H12" s="13" t="s">
        <v>39</v>
      </c>
      <c r="I12" s="13" t="s">
        <v>51</v>
      </c>
      <c r="J12" s="13" t="s">
        <v>39</v>
      </c>
      <c r="K12" s="13" t="s">
        <v>39</v>
      </c>
      <c r="L12" s="13" t="s">
        <v>39</v>
      </c>
      <c r="M12" s="13" t="s">
        <v>39</v>
      </c>
      <c r="N12" s="13" t="s">
        <v>39</v>
      </c>
      <c r="O12" s="13" t="s">
        <v>39</v>
      </c>
      <c r="P12" s="13" t="s">
        <v>39</v>
      </c>
      <c r="Q12" s="13" t="s">
        <v>51</v>
      </c>
      <c r="R12" s="13" t="s">
        <v>39</v>
      </c>
      <c r="S12" s="13" t="s">
        <v>39</v>
      </c>
      <c r="T12" s="13" t="s">
        <v>39</v>
      </c>
      <c r="U12" s="13" t="s">
        <v>39</v>
      </c>
      <c r="V12" s="13" t="s">
        <v>52</v>
      </c>
      <c r="W12" s="13" t="s">
        <v>39</v>
      </c>
      <c r="X12" s="13" t="s">
        <v>39</v>
      </c>
      <c r="Y12" s="13" t="s">
        <v>39</v>
      </c>
      <c r="Z12" s="13" t="s">
        <v>39</v>
      </c>
      <c r="AA12" s="14" t="s">
        <v>39</v>
      </c>
      <c r="AB12" s="169"/>
    </row>
    <row r="13" spans="2:28" ht="17.25" collapsed="1" x14ac:dyDescent="0.3">
      <c r="B13" s="189"/>
      <c r="C13" s="191"/>
      <c r="D13" s="8" t="s">
        <v>40</v>
      </c>
      <c r="E13" s="8">
        <f>IF(($V$3-$T$7)/($AA13-$T$7)&gt;1,"100%",IF(($V$3-$T$7)/($AA13-$T$7)&lt;0,"0%",($V$3-$T$7)/($AA13-$T$7)))</f>
        <v>8.3333333333333329E-2</v>
      </c>
      <c r="F13" s="15">
        <f>T7</f>
        <v>44670</v>
      </c>
      <c r="G13" s="15">
        <f>IF(G12="o", F13+3, F13)</f>
        <v>44673</v>
      </c>
      <c r="H13" s="15">
        <f>IF(H12="o", G13+4, G13)</f>
        <v>44677</v>
      </c>
      <c r="I13" s="15">
        <f>IF(I12="o", H13+5, H13)</f>
        <v>44677</v>
      </c>
      <c r="J13" s="15">
        <f>IF(J12="o", I13+1, I13)</f>
        <v>44678</v>
      </c>
      <c r="K13" s="15">
        <f>IF(K12="o", J13+1, J13)</f>
        <v>44679</v>
      </c>
      <c r="L13" s="15">
        <f t="shared" ref="L13" si="0">IF(L12="o", K13+2, K13)</f>
        <v>44681</v>
      </c>
      <c r="M13" s="15">
        <f>IF(M12="o", L13+2, L13)</f>
        <v>44683</v>
      </c>
      <c r="N13" s="15">
        <f>IF(N12="o", M13+2, M13)</f>
        <v>44685</v>
      </c>
      <c r="O13" s="15">
        <f>IF(O12="o", N13+3, N13)</f>
        <v>44688</v>
      </c>
      <c r="P13" s="15">
        <f>IF(P12="o", O13+2, O13)</f>
        <v>44690</v>
      </c>
      <c r="Q13" s="15">
        <f t="shared" ref="Q13" si="1">IF(Q12="o", P13+2, P13)</f>
        <v>44690</v>
      </c>
      <c r="R13" s="15">
        <f>IF(R12="o", Q13+3, Q13)</f>
        <v>44693</v>
      </c>
      <c r="S13" s="15">
        <f t="shared" ref="S13:U13" si="2">IF(S12="o", R13+3, R13)</f>
        <v>44696</v>
      </c>
      <c r="T13" s="15">
        <f t="shared" si="2"/>
        <v>44699</v>
      </c>
      <c r="U13" s="15">
        <f t="shared" si="2"/>
        <v>44702</v>
      </c>
      <c r="V13" s="15">
        <f>IF(V12="o", U13+2, U13)</f>
        <v>44704</v>
      </c>
      <c r="W13" s="15">
        <f>IF(W12="o", V13+7, V13)</f>
        <v>44711</v>
      </c>
      <c r="X13" s="15">
        <f>IF(X12="o", W13+7, W13)</f>
        <v>44718</v>
      </c>
      <c r="Y13" s="15">
        <f>IF(Y12="o", X13+7, X13)</f>
        <v>44725</v>
      </c>
      <c r="Z13" s="15">
        <f>IF(Z12="o", Y13+2, Y13)</f>
        <v>44727</v>
      </c>
      <c r="AA13" s="15">
        <f>AA7</f>
        <v>44742</v>
      </c>
      <c r="AB13" s="169"/>
    </row>
    <row r="14" spans="2:28" ht="17.25" hidden="1" outlineLevel="1" x14ac:dyDescent="0.3">
      <c r="B14" s="189"/>
      <c r="C14" s="191"/>
      <c r="D14" s="4" t="s">
        <v>41</v>
      </c>
      <c r="E14" s="5" t="s">
        <v>42</v>
      </c>
      <c r="F14" s="6">
        <f>F13-$T7</f>
        <v>0</v>
      </c>
      <c r="G14" s="6">
        <f>IF($G$12="o",G13-F13,"0")</f>
        <v>3</v>
      </c>
      <c r="H14" s="6">
        <f>IF($H$12="o",IF($G$12="x",H13-F13,H13-G13),"0")</f>
        <v>4</v>
      </c>
      <c r="I14" s="6" t="str">
        <f>IF($I$12="o",IF($H$12="x",IF($G$12="x",I13-F13,I13-G13),I13-H13),"0")</f>
        <v>0</v>
      </c>
      <c r="J14" s="6">
        <f>IF($J$12="o",IF($I$12="x",IF($H$12="x",IF($G$12="x",J13-F13,J13-G13),J13-H13),J13-I13),"0")</f>
        <v>1</v>
      </c>
      <c r="K14" s="6">
        <f>IF($K$12="o",IF($J$12="x",IF($I$12="x",IF($H$12="x",IF($G$12="x",K13-F13,K13-G13),K13-H13),K13-I13),K13-J13),"0")</f>
        <v>1</v>
      </c>
      <c r="L14" s="6">
        <f>IF($L$12="o",IF($K$12="x",IF($J$12="x",IF($I$12="x",IF($H$12="x",IF($G$12="x",L13-F13,L13-G13),L13-H13),L13-I13),L13-J13),L13-K13),"0")</f>
        <v>2</v>
      </c>
      <c r="M14" s="6">
        <f>IF($M$12="o",IF($L$12="x",IF($K$12="x",IF($J$12="x",IF($I$12="x",IF($H$12="x",IF($G$12="x",M13-F13,M13-G13),M13-H13),M13-I13),M13-J13),M13-K13),M13-L13),"0")</f>
        <v>2</v>
      </c>
      <c r="N14" s="6">
        <f>IF($N$12="o",IF($M$12="x",IF($L$12="x",IF($K$12="x",IF($J$12="x",IF($I$12="x",IF($H$12="x",IF($G$12="x",N13-F13,N13-G13),N13-H13),N13-I13),N13-J13),N13-K13),N13-L13),N13-M13),"0")</f>
        <v>2</v>
      </c>
      <c r="O14" s="6">
        <f>IF($O$12="o",IF($N$12="x",IF($M$12="x",IF($L$12="x",IF($K$12="x",IF($J$12="x",IF($I$12="x",IF($H$12="x",IF($G$12="x",O13-F13,O13-G13),O13-H13),O13-I13),O13-J13),O13-K13),O13-L13),O13-M13),O13-N13),"0")</f>
        <v>3</v>
      </c>
      <c r="P14" s="6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6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6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6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6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6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6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6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6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6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6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6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4" t="s">
        <v>43</v>
      </c>
      <c r="E15" s="193">
        <f>AA13-$T7</f>
        <v>72</v>
      </c>
      <c r="F15" s="7">
        <f>IF(F14/$E$15&gt;1,"100%",IF(F14/$E$15&lt;0,"0%",F14/$E$15))</f>
        <v>0</v>
      </c>
      <c r="G15" s="7">
        <f>IF(G14/$E$15&gt;1,"100%",IF(G14/$E$15&lt;0,"0%",G14/$E$15))</f>
        <v>4.1666666666666664E-2</v>
      </c>
      <c r="H15" s="7">
        <f t="shared" ref="H15:AA15" si="3">IF(H14/$E$15&gt;1,"100%",IF(H14/$E$15&lt;0,"0%",H14/$E$15))</f>
        <v>5.5555555555555552E-2</v>
      </c>
      <c r="I15" s="7">
        <f t="shared" si="3"/>
        <v>0</v>
      </c>
      <c r="J15" s="7">
        <f t="shared" si="3"/>
        <v>1.3888888888888888E-2</v>
      </c>
      <c r="K15" s="7">
        <f t="shared" si="3"/>
        <v>1.3888888888888888E-2</v>
      </c>
      <c r="L15" s="7">
        <f t="shared" si="3"/>
        <v>2.7777777777777776E-2</v>
      </c>
      <c r="M15" s="7">
        <f t="shared" si="3"/>
        <v>2.7777777777777776E-2</v>
      </c>
      <c r="N15" s="7">
        <f t="shared" si="3"/>
        <v>2.7777777777777776E-2</v>
      </c>
      <c r="O15" s="7">
        <f t="shared" si="3"/>
        <v>4.1666666666666664E-2</v>
      </c>
      <c r="P15" s="7">
        <f t="shared" si="3"/>
        <v>2.7777777777777776E-2</v>
      </c>
      <c r="Q15" s="7">
        <f t="shared" si="3"/>
        <v>0</v>
      </c>
      <c r="R15" s="7">
        <f t="shared" si="3"/>
        <v>6.9444444444444448E-2</v>
      </c>
      <c r="S15" s="7">
        <f t="shared" si="3"/>
        <v>4.1666666666666664E-2</v>
      </c>
      <c r="T15" s="7">
        <f t="shared" si="3"/>
        <v>4.1666666666666664E-2</v>
      </c>
      <c r="U15" s="7">
        <f t="shared" si="3"/>
        <v>4.1666666666666664E-2</v>
      </c>
      <c r="V15" s="7">
        <f t="shared" si="3"/>
        <v>2.7777777777777776E-2</v>
      </c>
      <c r="W15" s="7">
        <f t="shared" si="3"/>
        <v>9.7222222222222224E-2</v>
      </c>
      <c r="X15" s="7">
        <f t="shared" si="3"/>
        <v>9.7222222222222224E-2</v>
      </c>
      <c r="Y15" s="7">
        <f t="shared" si="3"/>
        <v>9.7222222222222224E-2</v>
      </c>
      <c r="Z15" s="7">
        <f t="shared" si="3"/>
        <v>2.7777777777777776E-2</v>
      </c>
      <c r="AA15" s="7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4" t="s">
        <v>44</v>
      </c>
      <c r="E16" s="194"/>
      <c r="F16" s="7">
        <f>F15*F17</f>
        <v>0</v>
      </c>
      <c r="G16" s="7">
        <f t="shared" ref="G16:AA16" si="4">G15*G17</f>
        <v>4.1666666666666664E-2</v>
      </c>
      <c r="H16" s="7">
        <f t="shared" si="4"/>
        <v>5.5555555555555552E-2</v>
      </c>
      <c r="I16" s="7">
        <f t="shared" si="4"/>
        <v>0</v>
      </c>
      <c r="J16" s="7">
        <f t="shared" si="4"/>
        <v>6.9444444444444441E-3</v>
      </c>
      <c r="K16" s="7">
        <f t="shared" si="4"/>
        <v>0</v>
      </c>
      <c r="L16" s="7">
        <f t="shared" si="4"/>
        <v>0</v>
      </c>
      <c r="M16" s="7">
        <f t="shared" si="4"/>
        <v>0</v>
      </c>
      <c r="N16" s="7">
        <f t="shared" si="4"/>
        <v>0</v>
      </c>
      <c r="O16" s="7">
        <f t="shared" si="4"/>
        <v>0</v>
      </c>
      <c r="P16" s="7">
        <f t="shared" si="4"/>
        <v>0</v>
      </c>
      <c r="Q16" s="7">
        <f t="shared" si="4"/>
        <v>0</v>
      </c>
      <c r="R16" s="7">
        <f t="shared" si="4"/>
        <v>0</v>
      </c>
      <c r="S16" s="7">
        <f t="shared" si="4"/>
        <v>0</v>
      </c>
      <c r="T16" s="7">
        <f t="shared" si="4"/>
        <v>0</v>
      </c>
      <c r="U16" s="7">
        <f t="shared" si="4"/>
        <v>0</v>
      </c>
      <c r="V16" s="7">
        <f t="shared" si="4"/>
        <v>0</v>
      </c>
      <c r="W16" s="7">
        <f t="shared" si="4"/>
        <v>0</v>
      </c>
      <c r="X16" s="7">
        <f t="shared" si="4"/>
        <v>0</v>
      </c>
      <c r="Y16" s="7">
        <f t="shared" si="4"/>
        <v>0</v>
      </c>
      <c r="Z16" s="7">
        <f t="shared" si="4"/>
        <v>0</v>
      </c>
      <c r="AA16" s="7">
        <f t="shared" si="4"/>
        <v>0</v>
      </c>
      <c r="AB16" s="169"/>
    </row>
    <row r="17" spans="2:28" ht="17.25" x14ac:dyDescent="0.3">
      <c r="B17" s="189"/>
      <c r="C17" s="192"/>
      <c r="D17" s="8" t="s">
        <v>45</v>
      </c>
      <c r="E17" s="8">
        <f>SUMIF($F$12:$Z$12,"o",F16:Z16)</f>
        <v>0.10416666666666666</v>
      </c>
      <c r="F17" s="9">
        <v>1</v>
      </c>
      <c r="G17" s="9">
        <v>1</v>
      </c>
      <c r="H17" s="9">
        <v>1</v>
      </c>
      <c r="I17" s="9"/>
      <c r="J17" s="9">
        <v>0.5</v>
      </c>
      <c r="K17" s="10"/>
      <c r="L17" s="10"/>
      <c r="M17" s="10"/>
      <c r="N17" s="9"/>
      <c r="O17" s="9"/>
      <c r="P17" s="9"/>
      <c r="Q17" s="9"/>
      <c r="R17" s="9"/>
      <c r="S17" s="9"/>
      <c r="T17" s="10"/>
      <c r="U17" s="10"/>
      <c r="V17" s="10"/>
      <c r="W17" s="10"/>
      <c r="X17" s="9"/>
      <c r="Y17" s="9"/>
      <c r="Z17" s="9"/>
      <c r="AA17" s="11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86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83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24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89" priority="2">
      <formula>F12="x"</formula>
    </cfRule>
  </conditionalFormatting>
  <conditionalFormatting sqref="AA13">
    <cfRule type="expression" dxfId="18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85" zoomScaleNormal="8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27" width="6.75" style="23" customWidth="1"/>
    <col min="28" max="28" width="33" style="23" customWidth="1"/>
    <col min="29" max="16384" width="9" style="23"/>
  </cols>
  <sheetData>
    <row r="1" spans="2:28" ht="17.25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16.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37.1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8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143</v>
      </c>
    </row>
    <row r="10" spans="2:28" ht="19.149999999999999" customHeight="1" x14ac:dyDescent="0.3">
      <c r="B10" s="180"/>
      <c r="C10" s="183"/>
      <c r="D10" s="171" t="s">
        <v>13</v>
      </c>
      <c r="E10" s="3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8.3333333333333329E-2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6.9444444444444441E-3</v>
      </c>
      <c r="K16" s="30">
        <f t="shared" si="4"/>
        <v>0</v>
      </c>
      <c r="L16" s="30">
        <f t="shared" si="4"/>
        <v>0</v>
      </c>
      <c r="M16" s="30">
        <f t="shared" si="4"/>
        <v>0</v>
      </c>
      <c r="N16" s="30">
        <f t="shared" si="4"/>
        <v>0</v>
      </c>
      <c r="O16" s="30">
        <f t="shared" si="4"/>
        <v>0</v>
      </c>
      <c r="P16" s="30">
        <f t="shared" si="4"/>
        <v>0</v>
      </c>
      <c r="Q16" s="30">
        <f t="shared" si="4"/>
        <v>0</v>
      </c>
      <c r="R16" s="30">
        <f t="shared" si="4"/>
        <v>0</v>
      </c>
      <c r="S16" s="30">
        <f t="shared" si="4"/>
        <v>0</v>
      </c>
      <c r="T16" s="30">
        <f t="shared" si="4"/>
        <v>0</v>
      </c>
      <c r="U16" s="30">
        <f t="shared" si="4"/>
        <v>0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0.10416666666666666</v>
      </c>
      <c r="F17" s="32">
        <v>1</v>
      </c>
      <c r="G17" s="32">
        <v>1</v>
      </c>
      <c r="H17" s="32">
        <v>1</v>
      </c>
      <c r="I17" s="32"/>
      <c r="J17" s="32">
        <v>0.5</v>
      </c>
      <c r="K17" s="33"/>
      <c r="L17" s="33"/>
      <c r="M17" s="33"/>
      <c r="N17" s="32"/>
      <c r="O17" s="32"/>
      <c r="P17" s="32"/>
      <c r="Q17" s="32"/>
      <c r="R17" s="32"/>
      <c r="S17" s="32"/>
      <c r="T17" s="33"/>
      <c r="U17" s="33"/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144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83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24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87" priority="2">
      <formula>F12="x"</formula>
    </cfRule>
  </conditionalFormatting>
  <conditionalFormatting sqref="AA13">
    <cfRule type="expression" dxfId="18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85" zoomScaleNormal="85" workbookViewId="0">
      <selection activeCell="AE28" sqref="AE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44679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146</v>
      </c>
    </row>
    <row r="10" spans="2:28" ht="19.149999999999999" customHeight="1" x14ac:dyDescent="0.3">
      <c r="B10" s="180"/>
      <c r="C10" s="183"/>
      <c r="D10" s="171" t="s">
        <v>13</v>
      </c>
      <c r="E10" s="3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0.125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0</v>
      </c>
      <c r="N16" s="30">
        <f t="shared" si="4"/>
        <v>5.5555555555555558E-3</v>
      </c>
      <c r="O16" s="30">
        <f t="shared" si="4"/>
        <v>0</v>
      </c>
      <c r="P16" s="30">
        <f t="shared" si="4"/>
        <v>0</v>
      </c>
      <c r="Q16" s="30">
        <f t="shared" si="4"/>
        <v>0</v>
      </c>
      <c r="R16" s="30">
        <f t="shared" si="4"/>
        <v>0</v>
      </c>
      <c r="S16" s="30">
        <f t="shared" si="4"/>
        <v>0</v>
      </c>
      <c r="T16" s="30">
        <f t="shared" si="4"/>
        <v>0</v>
      </c>
      <c r="U16" s="30">
        <f t="shared" si="4"/>
        <v>0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0.15833333333333335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33"/>
      <c r="N17" s="32">
        <v>0.2</v>
      </c>
      <c r="O17" s="32"/>
      <c r="P17" s="32"/>
      <c r="Q17" s="32"/>
      <c r="R17" s="32"/>
      <c r="S17" s="32"/>
      <c r="T17" s="33"/>
      <c r="U17" s="33"/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145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85" priority="2">
      <formula>F12="x"</formula>
    </cfRule>
  </conditionalFormatting>
  <conditionalFormatting sqref="AA13">
    <cfRule type="expression" dxfId="18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85" zoomScaleNormal="8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44680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147</v>
      </c>
    </row>
    <row r="10" spans="2:28" ht="19.149999999999999" customHeight="1" x14ac:dyDescent="0.3">
      <c r="B10" s="180"/>
      <c r="C10" s="183"/>
      <c r="D10" s="171" t="s">
        <v>13</v>
      </c>
      <c r="E10" s="3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148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0.1388888888888889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0</v>
      </c>
      <c r="P16" s="30">
        <f t="shared" si="4"/>
        <v>2.7777777777777776E-2</v>
      </c>
      <c r="Q16" s="30">
        <f t="shared" si="4"/>
        <v>0</v>
      </c>
      <c r="R16" s="30">
        <f t="shared" si="4"/>
        <v>0</v>
      </c>
      <c r="S16" s="30">
        <f t="shared" si="4"/>
        <v>0</v>
      </c>
      <c r="T16" s="30">
        <f t="shared" si="4"/>
        <v>0</v>
      </c>
      <c r="U16" s="30">
        <f t="shared" si="4"/>
        <v>0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0.23611111111111116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/>
      <c r="P17" s="44">
        <v>1</v>
      </c>
      <c r="Q17" s="32"/>
      <c r="R17" s="32"/>
      <c r="S17" s="32"/>
      <c r="T17" s="33"/>
      <c r="U17" s="33"/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149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83" priority="2">
      <formula>F12="x"</formula>
    </cfRule>
  </conditionalFormatting>
  <conditionalFormatting sqref="AA13">
    <cfRule type="expression" dxfId="18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0" zoomScaleNormal="70" workbookViewId="0">
      <selection activeCell="AE21" sqref="AE2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44683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153</v>
      </c>
    </row>
    <row r="10" spans="2:28" ht="19.149999999999999" customHeight="1" x14ac:dyDescent="0.3">
      <c r="B10" s="180"/>
      <c r="C10" s="183"/>
      <c r="D10" s="171" t="s">
        <v>13</v>
      </c>
      <c r="E10" s="3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148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0.18055555555555555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2.0833333333333332E-2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0</v>
      </c>
      <c r="T16" s="30">
        <f t="shared" si="4"/>
        <v>4.1666666666666664E-2</v>
      </c>
      <c r="U16" s="30">
        <f t="shared" si="4"/>
        <v>0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0.36805555555555564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0.5</v>
      </c>
      <c r="P17" s="44">
        <v>1</v>
      </c>
      <c r="Q17" s="32"/>
      <c r="R17" s="32">
        <v>1</v>
      </c>
      <c r="S17" s="32"/>
      <c r="T17" s="44">
        <v>1</v>
      </c>
      <c r="U17" s="33"/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152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150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49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81" priority="2">
      <formula>F12="x"</formula>
    </cfRule>
  </conditionalFormatting>
  <conditionalFormatting sqref="AA13">
    <cfRule type="expression" dxfId="18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0" zoomScaleNormal="70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154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82</v>
      </c>
      <c r="W2" s="137"/>
      <c r="X2" s="138" t="s">
        <v>1</v>
      </c>
      <c r="Y2" s="138"/>
      <c r="Z2" s="138"/>
      <c r="AA2" s="138" t="s">
        <v>155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44684</v>
      </c>
      <c r="W3" s="141"/>
      <c r="X3" s="146" t="s">
        <v>156</v>
      </c>
      <c r="Y3" s="146"/>
      <c r="Z3" s="146"/>
      <c r="AA3" s="149" t="s">
        <v>157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158</v>
      </c>
      <c r="U6" s="157"/>
      <c r="V6" s="155" t="s">
        <v>159</v>
      </c>
      <c r="W6" s="156"/>
      <c r="X6" s="156"/>
      <c r="Y6" s="156"/>
      <c r="Z6" s="156"/>
      <c r="AA6" s="158" t="s">
        <v>160</v>
      </c>
      <c r="AB6" s="159"/>
    </row>
    <row r="7" spans="2:28" ht="18" thickBot="1" x14ac:dyDescent="0.35">
      <c r="B7" s="41" t="s">
        <v>161</v>
      </c>
      <c r="C7" s="160" t="s">
        <v>162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163</v>
      </c>
      <c r="C8" s="158" t="s">
        <v>164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165</v>
      </c>
    </row>
    <row r="9" spans="2:28" ht="15" customHeight="1" x14ac:dyDescent="0.3">
      <c r="B9" s="179" t="s">
        <v>11</v>
      </c>
      <c r="C9" s="182" t="s">
        <v>4</v>
      </c>
      <c r="D9" s="185" t="s">
        <v>166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214</v>
      </c>
    </row>
    <row r="10" spans="2:28" ht="19.149999999999999" customHeight="1" x14ac:dyDescent="0.3">
      <c r="B10" s="180"/>
      <c r="C10" s="183"/>
      <c r="D10" s="171" t="s">
        <v>167</v>
      </c>
      <c r="E10" s="42" t="s">
        <v>168</v>
      </c>
      <c r="F10" s="173" t="s">
        <v>169</v>
      </c>
      <c r="G10" s="173" t="s">
        <v>170</v>
      </c>
      <c r="H10" s="173" t="s">
        <v>171</v>
      </c>
      <c r="I10" s="173" t="s">
        <v>172</v>
      </c>
      <c r="J10" s="173" t="s">
        <v>173</v>
      </c>
      <c r="K10" s="173" t="s">
        <v>174</v>
      </c>
      <c r="L10" s="173" t="s">
        <v>175</v>
      </c>
      <c r="M10" s="173" t="s">
        <v>176</v>
      </c>
      <c r="N10" s="173" t="s">
        <v>177</v>
      </c>
      <c r="O10" s="173" t="s">
        <v>178</v>
      </c>
      <c r="P10" s="173" t="s">
        <v>179</v>
      </c>
      <c r="Q10" s="171" t="s">
        <v>180</v>
      </c>
      <c r="R10" s="171" t="s">
        <v>182</v>
      </c>
      <c r="S10" s="171" t="s">
        <v>183</v>
      </c>
      <c r="T10" s="171" t="s">
        <v>184</v>
      </c>
      <c r="U10" s="171" t="s">
        <v>185</v>
      </c>
      <c r="V10" s="171" t="s">
        <v>186</v>
      </c>
      <c r="W10" s="171" t="s">
        <v>187</v>
      </c>
      <c r="X10" s="171" t="s">
        <v>188</v>
      </c>
      <c r="Y10" s="173" t="s">
        <v>189</v>
      </c>
      <c r="Z10" s="173" t="s">
        <v>190</v>
      </c>
      <c r="AA10" s="175" t="s">
        <v>191</v>
      </c>
      <c r="AB10" s="169"/>
    </row>
    <row r="11" spans="2:28" ht="18" customHeight="1" thickBot="1" x14ac:dyDescent="0.35">
      <c r="B11" s="181"/>
      <c r="C11" s="184"/>
      <c r="D11" s="172"/>
      <c r="E11" s="43" t="s">
        <v>192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193</v>
      </c>
      <c r="C12" s="190" t="s">
        <v>194</v>
      </c>
      <c r="D12" s="35"/>
      <c r="E12" s="36" t="s">
        <v>195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196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197</v>
      </c>
      <c r="E13" s="31">
        <f>IF(($V$3-$T$7)/($AA13-$T$7)&gt;1,"100%",IF(($V$3-$T$7)/($AA13-$T$7)&lt;0,"0%",($V$3-$T$7)/($AA13-$T$7)))</f>
        <v>0.19444444444444445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198</v>
      </c>
      <c r="E14" s="28" t="s">
        <v>199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200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201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2.0833333333333332E-2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0</v>
      </c>
      <c r="T16" s="30">
        <f t="shared" si="4"/>
        <v>4.1666666666666664E-2</v>
      </c>
      <c r="U16" s="30">
        <f t="shared" si="4"/>
        <v>0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202</v>
      </c>
      <c r="E17" s="31">
        <f>SUMIF($F$12:$Z$12,"o",F16:Z16)</f>
        <v>0.36805555555555564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0.5</v>
      </c>
      <c r="P17" s="44">
        <v>1</v>
      </c>
      <c r="Q17" s="32"/>
      <c r="R17" s="32">
        <v>1</v>
      </c>
      <c r="S17" s="32"/>
      <c r="T17" s="44">
        <v>1</v>
      </c>
      <c r="U17" s="33"/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203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204</v>
      </c>
      <c r="C19" s="203"/>
      <c r="D19" s="203"/>
      <c r="E19" s="203"/>
      <c r="F19" s="203"/>
      <c r="G19" s="203"/>
      <c r="H19" s="203"/>
      <c r="I19" s="203"/>
      <c r="J19" s="203"/>
      <c r="K19" s="203" t="s">
        <v>205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206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207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208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209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79" priority="2">
      <formula>F12="x"</formula>
    </cfRule>
  </conditionalFormatting>
  <conditionalFormatting sqref="AA13">
    <cfRule type="expression" dxfId="17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V6" sqref="V6:Z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154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82</v>
      </c>
      <c r="W2" s="137"/>
      <c r="X2" s="138" t="s">
        <v>1</v>
      </c>
      <c r="Y2" s="138"/>
      <c r="Z2" s="138"/>
      <c r="AA2" s="138" t="s">
        <v>155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44687</v>
      </c>
      <c r="W3" s="141"/>
      <c r="X3" s="146" t="s">
        <v>156</v>
      </c>
      <c r="Y3" s="146"/>
      <c r="Z3" s="146"/>
      <c r="AA3" s="149" t="s">
        <v>157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158</v>
      </c>
      <c r="U6" s="157"/>
      <c r="V6" s="155" t="s">
        <v>159</v>
      </c>
      <c r="W6" s="156"/>
      <c r="X6" s="156"/>
      <c r="Y6" s="156"/>
      <c r="Z6" s="156"/>
      <c r="AA6" s="158" t="s">
        <v>160</v>
      </c>
      <c r="AB6" s="159"/>
    </row>
    <row r="7" spans="2:28" ht="18" thickBot="1" x14ac:dyDescent="0.35">
      <c r="B7" s="41" t="s">
        <v>161</v>
      </c>
      <c r="C7" s="160" t="s">
        <v>162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163</v>
      </c>
      <c r="C8" s="158" t="s">
        <v>164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165</v>
      </c>
    </row>
    <row r="9" spans="2:28" ht="15" customHeight="1" x14ac:dyDescent="0.3">
      <c r="B9" s="179" t="s">
        <v>11</v>
      </c>
      <c r="C9" s="182" t="s">
        <v>4</v>
      </c>
      <c r="D9" s="185" t="s">
        <v>166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213</v>
      </c>
    </row>
    <row r="10" spans="2:28" ht="19.149999999999999" customHeight="1" x14ac:dyDescent="0.3">
      <c r="B10" s="180"/>
      <c r="C10" s="183"/>
      <c r="D10" s="171" t="s">
        <v>167</v>
      </c>
      <c r="E10" s="42" t="s">
        <v>168</v>
      </c>
      <c r="F10" s="173" t="s">
        <v>169</v>
      </c>
      <c r="G10" s="173" t="s">
        <v>170</v>
      </c>
      <c r="H10" s="173" t="s">
        <v>171</v>
      </c>
      <c r="I10" s="173" t="s">
        <v>172</v>
      </c>
      <c r="J10" s="173" t="s">
        <v>173</v>
      </c>
      <c r="K10" s="173" t="s">
        <v>174</v>
      </c>
      <c r="L10" s="173" t="s">
        <v>175</v>
      </c>
      <c r="M10" s="173" t="s">
        <v>176</v>
      </c>
      <c r="N10" s="173" t="s">
        <v>177</v>
      </c>
      <c r="O10" s="173" t="s">
        <v>178</v>
      </c>
      <c r="P10" s="173" t="s">
        <v>179</v>
      </c>
      <c r="Q10" s="171" t="s">
        <v>180</v>
      </c>
      <c r="R10" s="171" t="s">
        <v>181</v>
      </c>
      <c r="S10" s="171" t="s">
        <v>183</v>
      </c>
      <c r="T10" s="171" t="s">
        <v>184</v>
      </c>
      <c r="U10" s="171" t="s">
        <v>185</v>
      </c>
      <c r="V10" s="171" t="s">
        <v>186</v>
      </c>
      <c r="W10" s="171" t="s">
        <v>187</v>
      </c>
      <c r="X10" s="171" t="s">
        <v>188</v>
      </c>
      <c r="Y10" s="173" t="s">
        <v>189</v>
      </c>
      <c r="Z10" s="173" t="s">
        <v>190</v>
      </c>
      <c r="AA10" s="175" t="s">
        <v>191</v>
      </c>
      <c r="AB10" s="169"/>
    </row>
    <row r="11" spans="2:28" ht="18" customHeight="1" thickBot="1" x14ac:dyDescent="0.35">
      <c r="B11" s="181"/>
      <c r="C11" s="184"/>
      <c r="D11" s="172"/>
      <c r="E11" s="43" t="s">
        <v>192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193</v>
      </c>
      <c r="C12" s="190" t="s">
        <v>194</v>
      </c>
      <c r="D12" s="35"/>
      <c r="E12" s="36" t="s">
        <v>195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196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197</v>
      </c>
      <c r="E13" s="31">
        <f>IF(($V$3-$T$7)/($AA13-$T$7)&gt;1,"100%",IF(($V$3-$T$7)/($AA13-$T$7)&lt;0,"0%",($V$3-$T$7)/($AA13-$T$7)))</f>
        <v>0.2361111111111111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198</v>
      </c>
      <c r="E14" s="28" t="s">
        <v>199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200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201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3.3333333333333333E-2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0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202</v>
      </c>
      <c r="E17" s="31">
        <f>SUMIF($F$12:$Z$12,"o",F16:Z16)</f>
        <v>0.42222222222222228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0.8</v>
      </c>
      <c r="P17" s="44">
        <v>1</v>
      </c>
      <c r="Q17" s="32"/>
      <c r="R17" s="32">
        <v>1</v>
      </c>
      <c r="S17" s="32"/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203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204</v>
      </c>
      <c r="C19" s="203"/>
      <c r="D19" s="203"/>
      <c r="E19" s="203"/>
      <c r="F19" s="203"/>
      <c r="G19" s="203"/>
      <c r="H19" s="203"/>
      <c r="I19" s="203"/>
      <c r="J19" s="203"/>
      <c r="K19" s="203" t="s">
        <v>205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206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212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210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77" priority="2">
      <formula>F12="x"</formula>
    </cfRule>
  </conditionalFormatting>
  <conditionalFormatting sqref="AA13">
    <cfRule type="expression" dxfId="17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44687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213</v>
      </c>
    </row>
    <row r="10" spans="2:28" ht="19.149999999999999" customHeight="1" x14ac:dyDescent="0.3">
      <c r="B10" s="180"/>
      <c r="C10" s="183"/>
      <c r="D10" s="171" t="s">
        <v>13</v>
      </c>
      <c r="E10" s="4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0.2361111111111111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3.3333333333333333E-2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0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0.42222222222222228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0.8</v>
      </c>
      <c r="P17" s="44">
        <v>1</v>
      </c>
      <c r="Q17" s="32"/>
      <c r="R17" s="32">
        <v>1</v>
      </c>
      <c r="S17" s="32"/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212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210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75" priority="2">
      <formula>F12="x"</formula>
    </cfRule>
  </conditionalFormatting>
  <conditionalFormatting sqref="AA13">
    <cfRule type="expression" dxfId="17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217</v>
      </c>
    </row>
    <row r="10" spans="2:28" ht="19.149999999999999" customHeight="1" x14ac:dyDescent="0.3">
      <c r="B10" s="180"/>
      <c r="C10" s="183"/>
      <c r="D10" s="171" t="s">
        <v>13</v>
      </c>
      <c r="E10" s="4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0.29166666666666669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215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216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73" priority="2">
      <formula>F12="x"</formula>
    </cfRule>
  </conditionalFormatting>
  <conditionalFormatting sqref="AA13">
    <cfRule type="expression" dxfId="17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" sqref="B2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217</v>
      </c>
    </row>
    <row r="10" spans="2:28" ht="19.149999999999999" customHeight="1" x14ac:dyDescent="0.3">
      <c r="B10" s="180"/>
      <c r="C10" s="183"/>
      <c r="D10" s="171" t="s">
        <v>13</v>
      </c>
      <c r="E10" s="4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4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0.29166666666666669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215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216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71" priority="2">
      <formula>F12="x"</formula>
    </cfRule>
  </conditionalFormatting>
  <conditionalFormatting sqref="AA13">
    <cfRule type="expression" dxfId="17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sqref="A1:XFD104857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219</v>
      </c>
    </row>
    <row r="10" spans="2:28" ht="19.149999999999999" customHeight="1" x14ac:dyDescent="0.3">
      <c r="B10" s="180"/>
      <c r="C10" s="183"/>
      <c r="D10" s="171" t="s">
        <v>13</v>
      </c>
      <c r="E10" s="4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0.31944444444444442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220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218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69" priority="2">
      <formula>F12="x"</formula>
    </cfRule>
  </conditionalFormatting>
  <conditionalFormatting sqref="AA13">
    <cfRule type="expression" dxfId="16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V35" sqref="V3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219</v>
      </c>
    </row>
    <row r="10" spans="2:28" ht="19.149999999999999" customHeight="1" x14ac:dyDescent="0.3">
      <c r="B10" s="180"/>
      <c r="C10" s="183"/>
      <c r="D10" s="171" t="s">
        <v>13</v>
      </c>
      <c r="E10" s="5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0.31944444444444442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220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218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67" priority="2">
      <formula>F12="x"</formula>
    </cfRule>
  </conditionalFormatting>
  <conditionalFormatting sqref="AA13">
    <cfRule type="expression" dxfId="16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F21" sqref="AF2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44694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222</v>
      </c>
    </row>
    <row r="10" spans="2:28" ht="19.149999999999999" customHeight="1" x14ac:dyDescent="0.3">
      <c r="B10" s="180"/>
      <c r="C10" s="183"/>
      <c r="D10" s="171" t="s">
        <v>13</v>
      </c>
      <c r="E10" s="5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0.33333333333333331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221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216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65" priority="2">
      <formula>F12="x"</formula>
    </cfRule>
  </conditionalFormatting>
  <conditionalFormatting sqref="AA13">
    <cfRule type="expression" dxfId="16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U20" sqref="U20:AA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223</v>
      </c>
    </row>
    <row r="10" spans="2:28" ht="19.149999999999999" customHeight="1" x14ac:dyDescent="0.3">
      <c r="B10" s="180"/>
      <c r="C10" s="183"/>
      <c r="D10" s="171" t="s">
        <v>13</v>
      </c>
      <c r="E10" s="5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0.375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224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225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63" priority="2">
      <formula>F12="x"</formula>
    </cfRule>
  </conditionalFormatting>
  <conditionalFormatting sqref="AA13">
    <cfRule type="expression" dxfId="16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V17" sqref="V17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227</v>
      </c>
    </row>
    <row r="10" spans="2:28" ht="19.149999999999999" customHeight="1" x14ac:dyDescent="0.3">
      <c r="B10" s="180"/>
      <c r="C10" s="183"/>
      <c r="D10" s="171" t="s">
        <v>13</v>
      </c>
      <c r="E10" s="5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0.3888888888888889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0.47222222222222238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33"/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228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226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61" priority="2">
      <formula>F12="x"</formula>
    </cfRule>
  </conditionalFormatting>
  <conditionalFormatting sqref="AA13">
    <cfRule type="expression" dxfId="16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44699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229</v>
      </c>
    </row>
    <row r="10" spans="2:28" ht="19.149999999999999" customHeight="1" x14ac:dyDescent="0.3">
      <c r="B10" s="180"/>
      <c r="C10" s="183"/>
      <c r="D10" s="171" t="s">
        <v>13</v>
      </c>
      <c r="E10" s="5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0.40277777777777779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0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0.50000000000000011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33"/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230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226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59" priority="2">
      <formula>F12="x"</formula>
    </cfRule>
  </conditionalFormatting>
  <conditionalFormatting sqref="AA13">
    <cfRule type="expression" dxfId="15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232</v>
      </c>
    </row>
    <row r="10" spans="2:28" ht="19.149999999999999" customHeight="1" x14ac:dyDescent="0.3">
      <c r="B10" s="180"/>
      <c r="C10" s="183"/>
      <c r="D10" s="171" t="s">
        <v>13</v>
      </c>
      <c r="E10" s="5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0.41666666666666669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2.9166666666666667E-2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0.52916666666666679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0.3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231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233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57" priority="2">
      <formula>F12="x"</formula>
    </cfRule>
  </conditionalFormatting>
  <conditionalFormatting sqref="AA13">
    <cfRule type="expression" dxfId="15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234</v>
      </c>
    </row>
    <row r="10" spans="2:28" ht="19.149999999999999" customHeight="1" x14ac:dyDescent="0.3">
      <c r="B10" s="180"/>
      <c r="C10" s="183"/>
      <c r="D10" s="171" t="s">
        <v>13</v>
      </c>
      <c r="E10" s="5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5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0.43055555555555558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3.888888888888889E-2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0.53888888888888897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0.4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235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233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55" priority="2">
      <formula>F12="x"</formula>
    </cfRule>
  </conditionalFormatting>
  <conditionalFormatting sqref="AA13">
    <cfRule type="expression" dxfId="15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44704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236</v>
      </c>
    </row>
    <row r="10" spans="2:28" ht="19.149999999999999" customHeight="1" x14ac:dyDescent="0.3">
      <c r="B10" s="180"/>
      <c r="C10" s="183"/>
      <c r="D10" s="171" t="s">
        <v>13</v>
      </c>
      <c r="E10" s="5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6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0.47222222222222221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7.2916666666666671E-2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0.57291666666666674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0.75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251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237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53" priority="2">
      <formula>F12="x"</formula>
    </cfRule>
  </conditionalFormatting>
  <conditionalFormatting sqref="AA13">
    <cfRule type="expression" dxfId="15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240</v>
      </c>
    </row>
    <row r="10" spans="2:28" ht="19.149999999999999" customHeight="1" x14ac:dyDescent="0.3">
      <c r="B10" s="180"/>
      <c r="C10" s="183"/>
      <c r="D10" s="171" t="s">
        <v>13</v>
      </c>
      <c r="E10" s="5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6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0.4861111111111111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7.2916666666666671E-2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0.57291666666666674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0.75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238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239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195" t="s">
        <v>211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51" priority="2">
      <formula>F12="x"</formula>
    </cfRule>
  </conditionalFormatting>
  <conditionalFormatting sqref="AA13">
    <cfRule type="expression" dxfId="15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243</v>
      </c>
    </row>
    <row r="10" spans="2:28" ht="19.149999999999999" customHeight="1" x14ac:dyDescent="0.3">
      <c r="B10" s="180"/>
      <c r="C10" s="183"/>
      <c r="D10" s="171" t="s">
        <v>13</v>
      </c>
      <c r="E10" s="6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6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7.2916666666666671E-2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0.57291666666666674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0.75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239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241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49" priority="2">
      <formula>F12="x"</formula>
    </cfRule>
  </conditionalFormatting>
  <conditionalFormatting sqref="AA13">
    <cfRule type="expression" dxfId="14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246</v>
      </c>
    </row>
    <row r="10" spans="2:28" ht="19.149999999999999" customHeight="1" x14ac:dyDescent="0.3">
      <c r="B10" s="180"/>
      <c r="C10" s="183"/>
      <c r="D10" s="171" t="s">
        <v>13</v>
      </c>
      <c r="E10" s="6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6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0.51388888888888884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7.2916666666666671E-2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0.57291666666666674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0.75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244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245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241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47" priority="2">
      <formula>F12="x"</formula>
    </cfRule>
  </conditionalFormatting>
  <conditionalFormatting sqref="AA13">
    <cfRule type="expression" dxfId="14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44708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250</v>
      </c>
    </row>
    <row r="10" spans="2:28" ht="19.149999999999999" customHeight="1" x14ac:dyDescent="0.3">
      <c r="B10" s="180"/>
      <c r="C10" s="183"/>
      <c r="D10" s="171" t="s">
        <v>13</v>
      </c>
      <c r="E10" s="6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6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0.52777777777777779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7.2916666666666671E-2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0.57291666666666674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0.75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249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245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241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45" priority="2">
      <formula>F12="x"</formula>
    </cfRule>
  </conditionalFormatting>
  <conditionalFormatting sqref="AA13">
    <cfRule type="expression" dxfId="14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44711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248</v>
      </c>
    </row>
    <row r="10" spans="2:28" ht="19.149999999999999" customHeight="1" x14ac:dyDescent="0.3">
      <c r="B10" s="180"/>
      <c r="C10" s="183"/>
      <c r="D10" s="171" t="s">
        <v>13</v>
      </c>
      <c r="E10" s="6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6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0.56944444444444442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7.2916666666666671E-2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0.57291666666666674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0.75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247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245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241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43" priority="2">
      <formula>F12="x"</formula>
    </cfRule>
  </conditionalFormatting>
  <conditionalFormatting sqref="AA13">
    <cfRule type="expression" dxfId="14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44712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253</v>
      </c>
    </row>
    <row r="10" spans="2:28" ht="19.149999999999999" customHeight="1" x14ac:dyDescent="0.3">
      <c r="B10" s="180"/>
      <c r="C10" s="183"/>
      <c r="D10" s="171" t="s">
        <v>13</v>
      </c>
      <c r="E10" s="6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7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0.58333333333333337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0</v>
      </c>
      <c r="Y16" s="30">
        <f t="shared" si="4"/>
        <v>0</v>
      </c>
      <c r="Z16" s="30">
        <f t="shared" si="4"/>
        <v>0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0.59722222222222232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/>
      <c r="Y17" s="32"/>
      <c r="Z17" s="32"/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252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245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241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41" priority="2">
      <formula>F12="x"</formula>
    </cfRule>
  </conditionalFormatting>
  <conditionalFormatting sqref="AA13">
    <cfRule type="expression" dxfId="14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D19" sqref="AD19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44714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253</v>
      </c>
    </row>
    <row r="10" spans="2:28" ht="19.149999999999999" customHeight="1" x14ac:dyDescent="0.3">
      <c r="B10" s="180"/>
      <c r="C10" s="183"/>
      <c r="D10" s="171" t="s">
        <v>13</v>
      </c>
      <c r="E10" s="6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7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0.61111111111111116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0</v>
      </c>
      <c r="Z16" s="30">
        <f t="shared" si="4"/>
        <v>2.7777777777777776E-2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0.72222222222222232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/>
      <c r="Z17" s="32">
        <v>1</v>
      </c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151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254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245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241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39" priority="2">
      <formula>F12="x"</formula>
    </cfRule>
  </conditionalFormatting>
  <conditionalFormatting sqref="AA13">
    <cfRule type="expression" dxfId="13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44715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253</v>
      </c>
    </row>
    <row r="10" spans="2:28" ht="19.149999999999999" customHeight="1" x14ac:dyDescent="0.3">
      <c r="B10" s="180"/>
      <c r="C10" s="183"/>
      <c r="D10" s="171" t="s">
        <v>13</v>
      </c>
      <c r="E10" s="7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7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0.625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1.9444444444444445E-2</v>
      </c>
      <c r="Z16" s="30">
        <f t="shared" si="4"/>
        <v>2.7777777777777776E-2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0.74166666666666681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0.2</v>
      </c>
      <c r="Z17" s="32">
        <v>1</v>
      </c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256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257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37" priority="2">
      <formula>F12="x"</formula>
    </cfRule>
  </conditionalFormatting>
  <conditionalFormatting sqref="AA13">
    <cfRule type="expression" dxfId="13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44718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258</v>
      </c>
    </row>
    <row r="10" spans="2:28" ht="19.149999999999999" customHeight="1" x14ac:dyDescent="0.3">
      <c r="B10" s="180"/>
      <c r="C10" s="183"/>
      <c r="D10" s="171" t="s">
        <v>13</v>
      </c>
      <c r="E10" s="7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7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0.66666666666666663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1.9444444444444445E-2</v>
      </c>
      <c r="Z16" s="30">
        <f t="shared" si="4"/>
        <v>2.7777777777777776E-2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0.74166666666666681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0.2</v>
      </c>
      <c r="Z17" s="32">
        <v>1</v>
      </c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257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35" priority="2">
      <formula>F12="x"</formula>
    </cfRule>
  </conditionalFormatting>
  <conditionalFormatting sqref="AA13">
    <cfRule type="expression" dxfId="13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13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44719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260</v>
      </c>
    </row>
    <row r="10" spans="2:28" ht="19.149999999999999" customHeight="1" x14ac:dyDescent="0.3">
      <c r="B10" s="180"/>
      <c r="C10" s="183"/>
      <c r="D10" s="171" t="s">
        <v>13</v>
      </c>
      <c r="E10" s="7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7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0.68055555555555558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1.9444444444444445E-2</v>
      </c>
      <c r="Z16" s="30">
        <f t="shared" si="4"/>
        <v>2.7777777777777776E-2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0.74166666666666681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0.2</v>
      </c>
      <c r="Z17" s="32">
        <v>1</v>
      </c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259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257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33" priority="2">
      <formula>F12="x"</formula>
    </cfRule>
  </conditionalFormatting>
  <conditionalFormatting sqref="AA13">
    <cfRule type="expression" dxfId="13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261</v>
      </c>
    </row>
    <row r="10" spans="2:28" ht="19.149999999999999" customHeight="1" x14ac:dyDescent="0.3">
      <c r="B10" s="180"/>
      <c r="C10" s="183"/>
      <c r="D10" s="171" t="s">
        <v>13</v>
      </c>
      <c r="E10" s="7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7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0.69444444444444442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4.8611111111111112E-2</v>
      </c>
      <c r="Z16" s="30">
        <f t="shared" si="4"/>
        <v>2.7777777777777776E-2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0.77083333333333348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0.5</v>
      </c>
      <c r="Z17" s="32">
        <v>1</v>
      </c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262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257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31" priority="2">
      <formula>F12="x"</formula>
    </cfRule>
  </conditionalFormatting>
  <conditionalFormatting sqref="AA13">
    <cfRule type="expression" dxfId="13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J32" sqref="J32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 t="s">
        <v>6</v>
      </c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263</v>
      </c>
    </row>
    <row r="10" spans="2:28" ht="19.149999999999999" customHeight="1" x14ac:dyDescent="0.3">
      <c r="B10" s="180"/>
      <c r="C10" s="183"/>
      <c r="D10" s="171" t="s">
        <v>13</v>
      </c>
      <c r="E10" s="7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0.70833333333333337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4.8611111111111112E-2</v>
      </c>
      <c r="Z16" s="30">
        <f t="shared" si="4"/>
        <v>2.7777777777777776E-2</v>
      </c>
      <c r="AA16" s="30">
        <f t="shared" si="4"/>
        <v>0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0.77083333333333348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0.5</v>
      </c>
      <c r="Z17" s="32">
        <v>1</v>
      </c>
      <c r="AA17" s="34"/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53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257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29" priority="2">
      <formula>F12="x"</formula>
    </cfRule>
  </conditionalFormatting>
  <conditionalFormatting sqref="AA13">
    <cfRule type="expression" dxfId="12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44722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266</v>
      </c>
    </row>
    <row r="10" spans="2:28" ht="19.149999999999999" customHeight="1" x14ac:dyDescent="0.3">
      <c r="B10" s="180"/>
      <c r="C10" s="183"/>
      <c r="D10" s="171" t="s">
        <v>13</v>
      </c>
      <c r="E10" s="7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0.72222222222222221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0.81944444444444453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265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267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27" priority="2">
      <formula>F12="x"</formula>
    </cfRule>
  </conditionalFormatting>
  <conditionalFormatting sqref="AA13">
    <cfRule type="expression" dxfId="12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268</v>
      </c>
    </row>
    <row r="10" spans="2:28" ht="19.149999999999999" customHeight="1" x14ac:dyDescent="0.3">
      <c r="B10" s="180"/>
      <c r="C10" s="183"/>
      <c r="D10" s="171" t="s">
        <v>13</v>
      </c>
      <c r="E10" s="7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0.76388888888888884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0.81944444444444453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269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267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25" priority="2">
      <formula>F12="x"</formula>
    </cfRule>
  </conditionalFormatting>
  <conditionalFormatting sqref="AA13">
    <cfRule type="expression" dxfId="12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270</v>
      </c>
    </row>
    <row r="10" spans="2:28" ht="19.149999999999999" customHeight="1" x14ac:dyDescent="0.3">
      <c r="B10" s="180"/>
      <c r="C10" s="183"/>
      <c r="D10" s="171" t="s">
        <v>13</v>
      </c>
      <c r="E10" s="8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0.77777777777777779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>SUMIF($F$12:$Z$12,"o",F16:Z16)</f>
        <v>0.81944444444444453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267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23" priority="2">
      <formula>F12="x"</formula>
    </cfRule>
  </conditionalFormatting>
  <conditionalFormatting sqref="AA13">
    <cfRule type="expression" dxfId="12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273</v>
      </c>
    </row>
    <row r="10" spans="2:28" ht="19.149999999999999" customHeight="1" x14ac:dyDescent="0.3">
      <c r="B10" s="180"/>
      <c r="C10" s="183"/>
      <c r="D10" s="171" t="s">
        <v>13</v>
      </c>
      <c r="E10" s="8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0.79166666666666663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0.92361111111111116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271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21" priority="2">
      <formula>F12="x"</formula>
    </cfRule>
  </conditionalFormatting>
  <conditionalFormatting sqref="AA13">
    <cfRule type="expression" dxfId="12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275</v>
      </c>
    </row>
    <row r="10" spans="2:28" ht="19.149999999999999" customHeight="1" x14ac:dyDescent="0.3">
      <c r="B10" s="180"/>
      <c r="C10" s="183"/>
      <c r="D10" s="171" t="s">
        <v>13</v>
      </c>
      <c r="E10" s="8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0.80555555555555558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0.92361111111111116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274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19" priority="2">
      <formula>F12="x"</formula>
    </cfRule>
  </conditionalFormatting>
  <conditionalFormatting sqref="AA13">
    <cfRule type="expression" dxfId="11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44729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277</v>
      </c>
    </row>
    <row r="10" spans="2:28" ht="19.149999999999999" customHeight="1" x14ac:dyDescent="0.3">
      <c r="B10" s="180"/>
      <c r="C10" s="183"/>
      <c r="D10" s="171" t="s">
        <v>13</v>
      </c>
      <c r="E10" s="8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8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0.81944444444444442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0.92361111111111116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276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17" priority="2">
      <formula>F12="x"</formula>
    </cfRule>
  </conditionalFormatting>
  <conditionalFormatting sqref="AA13">
    <cfRule type="expression" dxfId="11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44732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279</v>
      </c>
    </row>
    <row r="10" spans="2:28" ht="19.149999999999999" customHeight="1" x14ac:dyDescent="0.3">
      <c r="B10" s="180"/>
      <c r="C10" s="183"/>
      <c r="D10" s="171" t="s">
        <v>13</v>
      </c>
      <c r="E10" s="8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0.86111111111111116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0.10416666666666667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0.92361111111111116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0.5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278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15" priority="2">
      <formula>F12="x"</formula>
    </cfRule>
  </conditionalFormatting>
  <conditionalFormatting sqref="AA13">
    <cfRule type="expression" dxfId="11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U20" sqref="U20:AA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44733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279</v>
      </c>
    </row>
    <row r="10" spans="2:28" ht="19.149999999999999" customHeight="1" x14ac:dyDescent="0.3">
      <c r="B10" s="180"/>
      <c r="C10" s="183"/>
      <c r="D10" s="171" t="s">
        <v>13</v>
      </c>
      <c r="E10" s="8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0.875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0.14583333333333334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0.9652777777777779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0.7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13" priority="2">
      <formula>F12="x"</formula>
    </cfRule>
  </conditionalFormatting>
  <conditionalFormatting sqref="AA13">
    <cfRule type="expression" dxfId="11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44734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281</v>
      </c>
    </row>
    <row r="10" spans="2:28" ht="19.149999999999999" customHeight="1" x14ac:dyDescent="0.3">
      <c r="B10" s="180"/>
      <c r="C10" s="183"/>
      <c r="D10" s="171" t="s">
        <v>13</v>
      </c>
      <c r="E10" s="8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0.88888888888888884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0.14583333333333334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0.9652777777777779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0.7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11" priority="2">
      <formula>F12="x"</formula>
    </cfRule>
  </conditionalFormatting>
  <conditionalFormatting sqref="AA13">
    <cfRule type="expression" dxfId="11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D17" sqref="AD17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44735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282</v>
      </c>
    </row>
    <row r="10" spans="2:28" ht="19.149999999999999" customHeight="1" x14ac:dyDescent="0.3">
      <c r="B10" s="180"/>
      <c r="C10" s="183"/>
      <c r="D10" s="171" t="s">
        <v>13</v>
      </c>
      <c r="E10" s="8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0.90277777777777779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0.14583333333333334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0.9652777777777779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0.7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09" priority="2">
      <formula>F12="x"</formula>
    </cfRule>
  </conditionalFormatting>
  <conditionalFormatting sqref="AA13">
    <cfRule type="expression" dxfId="10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44736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285</v>
      </c>
    </row>
    <row r="10" spans="2:28" ht="19.149999999999999" customHeight="1" x14ac:dyDescent="0.3">
      <c r="B10" s="180"/>
      <c r="C10" s="183"/>
      <c r="D10" s="171" t="s">
        <v>13</v>
      </c>
      <c r="E10" s="9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0.91666666666666663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0.14583333333333334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0.9652777777777779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0.7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284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07" priority="2">
      <formula>F12="x"</formula>
    </cfRule>
  </conditionalFormatting>
  <conditionalFormatting sqref="AA13">
    <cfRule type="expression" dxfId="10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D28" sqref="AD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44739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285</v>
      </c>
    </row>
    <row r="10" spans="2:28" ht="19.149999999999999" customHeight="1" x14ac:dyDescent="0.3">
      <c r="B10" s="180"/>
      <c r="C10" s="183"/>
      <c r="D10" s="171" t="s">
        <v>13</v>
      </c>
      <c r="E10" s="9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0.95833333333333337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0.14583333333333334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0.9652777777777779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0.7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05" priority="2">
      <formula>F12="x"</formula>
    </cfRule>
  </conditionalFormatting>
  <conditionalFormatting sqref="AA13">
    <cfRule type="expression" dxfId="10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E17" sqref="AE17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44740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285</v>
      </c>
    </row>
    <row r="10" spans="2:28" ht="19.149999999999999" customHeight="1" x14ac:dyDescent="0.3">
      <c r="B10" s="180"/>
      <c r="C10" s="183"/>
      <c r="D10" s="171" t="s">
        <v>13</v>
      </c>
      <c r="E10" s="9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>
        <f>IF(($V$3-$T$7)/($AA13-$T$7)&gt;1,"100%",IF(($V$3-$T$7)/($AA13-$T$7)&lt;0,"0%",($V$3-$T$7)/($AA13-$T$7)))</f>
        <v>0.97222222222222221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272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03" priority="2">
      <formula>F12="x"</formula>
    </cfRule>
  </conditionalFormatting>
  <conditionalFormatting sqref="AA13">
    <cfRule type="expression" dxfId="10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44747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293</v>
      </c>
    </row>
    <row r="10" spans="2:28" ht="19.149999999999999" customHeight="1" x14ac:dyDescent="0.3">
      <c r="B10" s="180"/>
      <c r="C10" s="183"/>
      <c r="D10" s="171" t="s">
        <v>13</v>
      </c>
      <c r="E10" s="9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01" priority="2">
      <formula>F12="x"</formula>
    </cfRule>
  </conditionalFormatting>
  <conditionalFormatting sqref="AA13">
    <cfRule type="expression" dxfId="10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44753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295</v>
      </c>
    </row>
    <row r="10" spans="2:28" ht="19.149999999999999" customHeight="1" x14ac:dyDescent="0.3">
      <c r="B10" s="180"/>
      <c r="C10" s="183"/>
      <c r="D10" s="171" t="s">
        <v>13</v>
      </c>
      <c r="E10" s="9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9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99" priority="2">
      <formula>F12="x"</formula>
    </cfRule>
  </conditionalFormatting>
  <conditionalFormatting sqref="AA13">
    <cfRule type="expression" dxfId="9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AE19" sqref="AE19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44754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295</v>
      </c>
    </row>
    <row r="10" spans="2:28" ht="19.149999999999999" customHeight="1" x14ac:dyDescent="0.3">
      <c r="B10" s="180"/>
      <c r="C10" s="183"/>
      <c r="D10" s="171" t="s">
        <v>13</v>
      </c>
      <c r="E10" s="9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0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97" priority="2">
      <formula>F12="x"</formula>
    </cfRule>
  </conditionalFormatting>
  <conditionalFormatting sqref="AA13">
    <cfRule type="expression" dxfId="9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44755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295</v>
      </c>
    </row>
    <row r="10" spans="2:28" ht="19.149999999999999" customHeight="1" x14ac:dyDescent="0.3">
      <c r="B10" s="180"/>
      <c r="C10" s="183"/>
      <c r="D10" s="171" t="s">
        <v>13</v>
      </c>
      <c r="E10" s="10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0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95" priority="2">
      <formula>F12="x"</formula>
    </cfRule>
  </conditionalFormatting>
  <conditionalFormatting sqref="AA13">
    <cfRule type="expression" dxfId="9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44757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295</v>
      </c>
    </row>
    <row r="10" spans="2:28" ht="19.149999999999999" customHeight="1" x14ac:dyDescent="0.3">
      <c r="B10" s="180"/>
      <c r="C10" s="183"/>
      <c r="D10" s="171" t="s">
        <v>13</v>
      </c>
      <c r="E10" s="10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0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298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93" priority="2">
      <formula>F12="x"</formula>
    </cfRule>
  </conditionalFormatting>
  <conditionalFormatting sqref="AA13">
    <cfRule type="expression" dxfId="9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299</v>
      </c>
    </row>
    <row r="10" spans="2:28" ht="19.149999999999999" customHeight="1" x14ac:dyDescent="0.3">
      <c r="B10" s="180"/>
      <c r="C10" s="183"/>
      <c r="D10" s="171" t="s">
        <v>13</v>
      </c>
      <c r="E10" s="10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0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300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91" priority="2">
      <formula>F12="x"</formula>
    </cfRule>
  </conditionalFormatting>
  <conditionalFormatting sqref="AA13">
    <cfRule type="expression" dxfId="9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4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0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0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302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89" priority="2">
      <formula>F12="x"</formula>
    </cfRule>
  </conditionalFormatting>
  <conditionalFormatting sqref="AA13">
    <cfRule type="expression" dxfId="8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V6" sqref="V6:Z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307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308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87" priority="2">
      <formula>F12="x"</formula>
    </cfRule>
  </conditionalFormatting>
  <conditionalFormatting sqref="AA13">
    <cfRule type="expression" dxfId="8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10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306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309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85" priority="2">
      <formula>F12="x"</formula>
    </cfRule>
  </conditionalFormatting>
  <conditionalFormatting sqref="AA13">
    <cfRule type="expression" dxfId="8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10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 t="s">
        <v>310</v>
      </c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83" priority="2">
      <formula>F12="x"</formula>
    </cfRule>
  </conditionalFormatting>
  <conditionalFormatting sqref="AA13">
    <cfRule type="expression" dxfId="8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7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81" priority="2">
      <formula>F12="x"</formula>
    </cfRule>
  </conditionalFormatting>
  <conditionalFormatting sqref="AA13">
    <cfRule type="expression" dxfId="8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7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79" priority="2">
      <formula>F12="x"</formula>
    </cfRule>
  </conditionalFormatting>
  <conditionalFormatting sqref="AA13">
    <cfRule type="expression" dxfId="7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7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77" priority="2">
      <formula>F12="x"</formula>
    </cfRule>
  </conditionalFormatting>
  <conditionalFormatting sqref="AA13">
    <cfRule type="expression" dxfId="7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A7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75" priority="2">
      <formula>F12="x"</formula>
    </cfRule>
  </conditionalFormatting>
  <conditionalFormatting sqref="AA13">
    <cfRule type="expression" dxfId="7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73" priority="2">
      <formula>F12="x"</formula>
    </cfRule>
  </conditionalFormatting>
  <conditionalFormatting sqref="AA13">
    <cfRule type="expression" dxfId="7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71" priority="2">
      <formula>F12="x"</formula>
    </cfRule>
  </conditionalFormatting>
  <conditionalFormatting sqref="AA13">
    <cfRule type="expression" dxfId="7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301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264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69" priority="2">
      <formula>F12="x"</formula>
    </cfRule>
  </conditionalFormatting>
  <conditionalFormatting sqref="AA13">
    <cfRule type="expression" dxfId="6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0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0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304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67" priority="2">
      <formula>F12="x"</formula>
    </cfRule>
  </conditionalFormatting>
  <conditionalFormatting sqref="AA13">
    <cfRule type="expression" dxfId="6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7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65" priority="2">
      <formula>F12="x"</formula>
    </cfRule>
  </conditionalFormatting>
  <conditionalFormatting sqref="AA13">
    <cfRule type="expression" dxfId="6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8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319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63" priority="2">
      <formula>F12="x"</formula>
    </cfRule>
  </conditionalFormatting>
  <conditionalFormatting sqref="AA13">
    <cfRule type="expression" dxfId="6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8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61" priority="2">
      <formula>F12="x"</formula>
    </cfRule>
  </conditionalFormatting>
  <conditionalFormatting sqref="AA13">
    <cfRule type="expression" dxfId="6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8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59" priority="2">
      <formula>F12="x"</formula>
    </cfRule>
  </conditionalFormatting>
  <conditionalFormatting sqref="AA13">
    <cfRule type="expression" dxfId="5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8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57" priority="2">
      <formula>F12="x"</formula>
    </cfRule>
  </conditionalFormatting>
  <conditionalFormatting sqref="AA13">
    <cfRule type="expression" dxfId="5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44769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303</v>
      </c>
    </row>
    <row r="10" spans="2:28" ht="19.149999999999999" customHeight="1" x14ac:dyDescent="0.3">
      <c r="B10" s="180"/>
      <c r="C10" s="183"/>
      <c r="D10" s="171" t="s">
        <v>13</v>
      </c>
      <c r="E10" s="11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55" priority="2">
      <formula>F12="x"</formula>
    </cfRule>
  </conditionalFormatting>
  <conditionalFormatting sqref="AA13">
    <cfRule type="expression" dxfId="5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B29" sqref="B29:AA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44798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324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53" priority="2">
      <formula>F12="x"</formula>
    </cfRule>
  </conditionalFormatting>
  <conditionalFormatting sqref="AA13">
    <cfRule type="expression" dxfId="5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6" sqref="V6:Z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44799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324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51" priority="2">
      <formula>F12="x"</formula>
    </cfRule>
  </conditionalFormatting>
  <conditionalFormatting sqref="AA13">
    <cfRule type="expression" dxfId="5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6" sqref="V6:Z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44802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324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49" priority="2">
      <formula>F12="x"</formula>
    </cfRule>
  </conditionalFormatting>
  <conditionalFormatting sqref="AA13">
    <cfRule type="expression" dxfId="4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44803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340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47" priority="2">
      <formula>F12="x"</formula>
    </cfRule>
  </conditionalFormatting>
  <conditionalFormatting sqref="AA13">
    <cfRule type="expression" dxfId="4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44805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339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329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45" priority="2">
      <formula>F12="x"</formula>
    </cfRule>
  </conditionalFormatting>
  <conditionalFormatting sqref="AA13">
    <cfRule type="expression" dxfId="4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44806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339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330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43" priority="2">
      <formula>F12="x"</formula>
    </cfRule>
  </conditionalFormatting>
  <conditionalFormatting sqref="AA13">
    <cfRule type="expression" dxfId="4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44809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338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332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41" priority="2">
      <formula>F12="x"</formula>
    </cfRule>
  </conditionalFormatting>
  <conditionalFormatting sqref="AA13">
    <cfRule type="expression" dxfId="4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44810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337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331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39" priority="2">
      <formula>F12="x"</formula>
    </cfRule>
  </conditionalFormatting>
  <conditionalFormatting sqref="AA13">
    <cfRule type="expression" dxfId="3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6" sqref="V6:Z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44811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324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37" priority="2">
      <formula>F12="x"</formula>
    </cfRule>
  </conditionalFormatting>
  <conditionalFormatting sqref="AA13">
    <cfRule type="expression" dxfId="3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44817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335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334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35" priority="2">
      <formula>F12="x"</formula>
    </cfRule>
  </conditionalFormatting>
  <conditionalFormatting sqref="AA13">
    <cfRule type="expression" dxfId="3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C6" sqref="AC6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44818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335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336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33" priority="2">
      <formula>F12="x"</formula>
    </cfRule>
  </conditionalFormatting>
  <conditionalFormatting sqref="AA13">
    <cfRule type="expression" dxfId="3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44819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342</v>
      </c>
    </row>
    <row r="10" spans="2:28" ht="19.149999999999999" customHeight="1" x14ac:dyDescent="0.3">
      <c r="B10" s="180"/>
      <c r="C10" s="183"/>
      <c r="D10" s="171" t="s">
        <v>13</v>
      </c>
      <c r="E10" s="11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341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31" priority="2">
      <formula>F12="x"</formula>
    </cfRule>
  </conditionalFormatting>
  <conditionalFormatting sqref="AA13">
    <cfRule type="expression" dxfId="3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344</v>
      </c>
    </row>
    <row r="10" spans="2:28" ht="19.149999999999999" customHeight="1" x14ac:dyDescent="0.3">
      <c r="B10" s="180"/>
      <c r="C10" s="183"/>
      <c r="D10" s="171" t="s">
        <v>13</v>
      </c>
      <c r="E10" s="11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29" priority="2">
      <formula>F12="x"</formula>
    </cfRule>
  </conditionalFormatting>
  <conditionalFormatting sqref="AA13">
    <cfRule type="expression" dxfId="2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344</v>
      </c>
    </row>
    <row r="10" spans="2:28" ht="19.149999999999999" customHeight="1" x14ac:dyDescent="0.3">
      <c r="B10" s="180"/>
      <c r="C10" s="183"/>
      <c r="D10" s="171" t="s">
        <v>13</v>
      </c>
      <c r="E10" s="11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345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27" priority="2">
      <formula>F12="x"</formula>
    </cfRule>
  </conditionalFormatting>
  <conditionalFormatting sqref="AA13">
    <cfRule type="expression" dxfId="2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44823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349</v>
      </c>
    </row>
    <row r="10" spans="2:28" ht="19.149999999999999" customHeight="1" x14ac:dyDescent="0.3">
      <c r="B10" s="180"/>
      <c r="C10" s="183"/>
      <c r="D10" s="171" t="s">
        <v>13</v>
      </c>
      <c r="E10" s="11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347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25" priority="2">
      <formula>F12="x"</formula>
    </cfRule>
  </conditionalFormatting>
  <conditionalFormatting sqref="AA13">
    <cfRule type="expression" dxfId="2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H20" sqref="AH20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44824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346</v>
      </c>
    </row>
    <row r="10" spans="2:28" ht="19.149999999999999" customHeight="1" x14ac:dyDescent="0.3">
      <c r="B10" s="180"/>
      <c r="C10" s="183"/>
      <c r="D10" s="171" t="s">
        <v>13</v>
      </c>
      <c r="E10" s="117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18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348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23" priority="2">
      <formula>F12="x"</formula>
    </cfRule>
  </conditionalFormatting>
  <conditionalFormatting sqref="AA13">
    <cfRule type="expression" dxfId="2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E11" sqref="AE1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44825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346</v>
      </c>
    </row>
    <row r="10" spans="2:28" ht="19.149999999999999" customHeight="1" x14ac:dyDescent="0.3">
      <c r="B10" s="180"/>
      <c r="C10" s="183"/>
      <c r="D10" s="171" t="s">
        <v>13</v>
      </c>
      <c r="E10" s="119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0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21" priority="2">
      <formula>F12="x"</formula>
    </cfRule>
  </conditionalFormatting>
  <conditionalFormatting sqref="AA13">
    <cfRule type="expression" dxfId="2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44826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351</v>
      </c>
    </row>
    <row r="10" spans="2:28" ht="19.149999999999999" customHeight="1" x14ac:dyDescent="0.3">
      <c r="B10" s="180"/>
      <c r="C10" s="183"/>
      <c r="D10" s="171" t="s">
        <v>13</v>
      </c>
      <c r="E10" s="12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9" priority="2">
      <formula>F12="x"</formula>
    </cfRule>
  </conditionalFormatting>
  <conditionalFormatting sqref="AA13">
    <cfRule type="expression" dxfId="1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44827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354</v>
      </c>
    </row>
    <row r="10" spans="2:28" ht="19.149999999999999" customHeight="1" x14ac:dyDescent="0.3">
      <c r="B10" s="180"/>
      <c r="C10" s="183"/>
      <c r="D10" s="171" t="s">
        <v>13</v>
      </c>
      <c r="E10" s="12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255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7" priority="2">
      <formula>F12="x"</formula>
    </cfRule>
  </conditionalFormatting>
  <conditionalFormatting sqref="AA13">
    <cfRule type="expression" dxfId="1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357</v>
      </c>
    </row>
    <row r="10" spans="2:28" ht="19.149999999999999" customHeight="1" x14ac:dyDescent="0.3">
      <c r="B10" s="180"/>
      <c r="C10" s="183"/>
      <c r="D10" s="171" t="s">
        <v>13</v>
      </c>
      <c r="E10" s="121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2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356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12:B17"/>
    <mergeCell ref="C12:C17"/>
    <mergeCell ref="E15:E16"/>
    <mergeCell ref="B18:AA18"/>
    <mergeCell ref="B19:J19"/>
    <mergeCell ref="K19:T19"/>
    <mergeCell ref="U19:AA19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AB9:AB31"/>
    <mergeCell ref="D10:D11"/>
    <mergeCell ref="F10:F11"/>
    <mergeCell ref="G10:G11"/>
    <mergeCell ref="H10:H11"/>
    <mergeCell ref="I10:I11"/>
    <mergeCell ref="O10:O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5" priority="2">
      <formula>F12="x"</formula>
    </cfRule>
  </conditionalFormatting>
  <conditionalFormatting sqref="AA13">
    <cfRule type="expression" dxfId="1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F23" sqref="AF23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357</v>
      </c>
    </row>
    <row r="10" spans="2:28" ht="19.149999999999999" customHeight="1" x14ac:dyDescent="0.3">
      <c r="B10" s="180"/>
      <c r="C10" s="183"/>
      <c r="D10" s="171" t="s">
        <v>13</v>
      </c>
      <c r="E10" s="12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3" priority="2">
      <formula>F12="x"</formula>
    </cfRule>
  </conditionalFormatting>
  <conditionalFormatting sqref="AA13">
    <cfRule type="expression" dxfId="1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K20" sqref="K20:T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357</v>
      </c>
    </row>
    <row r="10" spans="2:28" ht="19.149999999999999" customHeight="1" x14ac:dyDescent="0.3">
      <c r="B10" s="180"/>
      <c r="C10" s="183"/>
      <c r="D10" s="171" t="s">
        <v>13</v>
      </c>
      <c r="E10" s="12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11" priority="2">
      <formula>F12="x"</formula>
    </cfRule>
  </conditionalFormatting>
  <conditionalFormatting sqref="AA13">
    <cfRule type="expression" dxfId="1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B9" sqref="AB9:AB31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357</v>
      </c>
    </row>
    <row r="10" spans="2:28" ht="19.149999999999999" customHeight="1" x14ac:dyDescent="0.3">
      <c r="B10" s="180"/>
      <c r="C10" s="183"/>
      <c r="D10" s="171" t="s">
        <v>13</v>
      </c>
      <c r="E10" s="12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360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9" priority="2">
      <formula>F12="x"</formula>
    </cfRule>
  </conditionalFormatting>
  <conditionalFormatting sqref="AA13">
    <cfRule type="expression" dxfId="8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B20" sqref="B20:J28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44831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357</v>
      </c>
    </row>
    <row r="10" spans="2:28" ht="19.149999999999999" customHeight="1" x14ac:dyDescent="0.3">
      <c r="B10" s="180"/>
      <c r="C10" s="183"/>
      <c r="D10" s="171" t="s">
        <v>13</v>
      </c>
      <c r="E10" s="12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359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7" priority="2">
      <formula>F12="x"</formula>
    </cfRule>
  </conditionalFormatting>
  <conditionalFormatting sqref="AA13">
    <cfRule type="expression" dxfId="6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AE19" sqref="AE19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44838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362</v>
      </c>
    </row>
    <row r="10" spans="2:28" ht="19.149999999999999" customHeight="1" x14ac:dyDescent="0.3">
      <c r="B10" s="180"/>
      <c r="C10" s="183"/>
      <c r="D10" s="171" t="s">
        <v>13</v>
      </c>
      <c r="E10" s="123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4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361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:U5"/>
    <mergeCell ref="V2:W2"/>
    <mergeCell ref="X2:Z2"/>
    <mergeCell ref="AA2:AB2"/>
    <mergeCell ref="V3:W5"/>
    <mergeCell ref="X3:Z5"/>
    <mergeCell ref="AA3:AB5"/>
    <mergeCell ref="C6:S6"/>
    <mergeCell ref="T6:U6"/>
    <mergeCell ref="V6:Z6"/>
    <mergeCell ref="AA6:AB6"/>
    <mergeCell ref="C7:S7"/>
    <mergeCell ref="T7:U7"/>
    <mergeCell ref="V7:Z7"/>
    <mergeCell ref="AA7:AB7"/>
    <mergeCell ref="AB9:AB31"/>
    <mergeCell ref="D10:D11"/>
    <mergeCell ref="F10:F11"/>
    <mergeCell ref="G10:G11"/>
    <mergeCell ref="H10:H11"/>
    <mergeCell ref="I10:I11"/>
    <mergeCell ref="O10:O11"/>
    <mergeCell ref="C8:AA8"/>
    <mergeCell ref="B9:B11"/>
    <mergeCell ref="C9:C11"/>
    <mergeCell ref="D9:AA9"/>
    <mergeCell ref="J10:J11"/>
    <mergeCell ref="K10:K11"/>
    <mergeCell ref="L10:L11"/>
    <mergeCell ref="M10:M11"/>
    <mergeCell ref="N10:N11"/>
    <mergeCell ref="AA10:AA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</mergeCells>
  <phoneticPr fontId="3" type="noConversion"/>
  <conditionalFormatting sqref="F13:Z13">
    <cfRule type="expression" dxfId="5" priority="2">
      <formula>F12="x"</formula>
    </cfRule>
  </conditionalFormatting>
  <conditionalFormatting sqref="AA13">
    <cfRule type="expression" dxfId="4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opLeftCell="B1" zoomScale="75" zoomScaleNormal="75" workbookViewId="0">
      <selection activeCell="V3" sqref="V3:W5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44839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362</v>
      </c>
    </row>
    <row r="10" spans="2:28" ht="19.149999999999999" customHeight="1" x14ac:dyDescent="0.3">
      <c r="B10" s="180"/>
      <c r="C10" s="183"/>
      <c r="D10" s="171" t="s">
        <v>13</v>
      </c>
      <c r="E10" s="12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363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  <mergeCell ref="V10:V11"/>
    <mergeCell ref="W10:W11"/>
    <mergeCell ref="X10:X11"/>
    <mergeCell ref="Y10:Y11"/>
    <mergeCell ref="Z10:Z11"/>
    <mergeCell ref="AA10:AA11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C8:AA8"/>
    <mergeCell ref="B9:B11"/>
    <mergeCell ref="C9:C11"/>
    <mergeCell ref="D9:AA9"/>
    <mergeCell ref="AB9:AB31"/>
    <mergeCell ref="D10:D11"/>
    <mergeCell ref="F10:F11"/>
    <mergeCell ref="G10:G11"/>
    <mergeCell ref="H10:H11"/>
    <mergeCell ref="I10:I1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3" priority="2">
      <formula>F12="x"</formula>
    </cfRule>
  </conditionalFormatting>
  <conditionalFormatting sqref="AA13">
    <cfRule type="expression" dxfId="2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B31"/>
  <sheetViews>
    <sheetView tabSelected="1" topLeftCell="B1" zoomScale="75" zoomScaleNormal="75" workbookViewId="0">
      <selection activeCell="AF24" sqref="AF24"/>
    </sheetView>
  </sheetViews>
  <sheetFormatPr defaultColWidth="9" defaultRowHeight="16.5" outlineLevelRow="1" x14ac:dyDescent="0.3"/>
  <cols>
    <col min="1" max="2" width="9" style="23"/>
    <col min="3" max="3" width="8.375" style="23" customWidth="1"/>
    <col min="4" max="9" width="6.75" style="23" customWidth="1"/>
    <col min="10" max="10" width="10" style="23" customWidth="1"/>
    <col min="11" max="27" width="6.75" style="23" customWidth="1"/>
    <col min="28" max="28" width="33" style="23" customWidth="1"/>
    <col min="29" max="16384" width="9" style="23"/>
  </cols>
  <sheetData>
    <row r="1" spans="2:28" ht="6.75" customHeight="1" thickBot="1" x14ac:dyDescent="0.35"/>
    <row r="2" spans="2:28" ht="16.5" customHeight="1" thickBot="1" x14ac:dyDescent="0.35">
      <c r="B2" s="127" t="s">
        <v>57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  <c r="V2" s="136" t="s">
        <v>0</v>
      </c>
      <c r="W2" s="137"/>
      <c r="X2" s="138" t="s">
        <v>1</v>
      </c>
      <c r="Y2" s="138"/>
      <c r="Z2" s="138"/>
      <c r="AA2" s="138" t="s">
        <v>2</v>
      </c>
      <c r="AB2" s="139"/>
    </row>
    <row r="3" spans="2:28" ht="0.75" customHeight="1" x14ac:dyDescent="0.3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  <c r="V3" s="140">
        <v>44840</v>
      </c>
      <c r="W3" s="141"/>
      <c r="X3" s="146" t="s">
        <v>60</v>
      </c>
      <c r="Y3" s="146"/>
      <c r="Z3" s="146"/>
      <c r="AA3" s="149" t="s">
        <v>56</v>
      </c>
      <c r="AB3" s="150"/>
    </row>
    <row r="4" spans="2:28" ht="16.5" customHeight="1" x14ac:dyDescent="0.3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42"/>
      <c r="W4" s="143"/>
      <c r="X4" s="147"/>
      <c r="Y4" s="147"/>
      <c r="Z4" s="147"/>
      <c r="AA4" s="151"/>
      <c r="AB4" s="152"/>
    </row>
    <row r="5" spans="2:28" ht="13.5" customHeight="1" thickBot="1" x14ac:dyDescent="0.35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5"/>
      <c r="V5" s="144"/>
      <c r="W5" s="145"/>
      <c r="X5" s="148"/>
      <c r="Y5" s="148"/>
      <c r="Z5" s="148"/>
      <c r="AA5" s="153"/>
      <c r="AB5" s="154"/>
    </row>
    <row r="6" spans="2:28" ht="18" thickBot="1" x14ac:dyDescent="0.35">
      <c r="B6" s="24" t="s">
        <v>3</v>
      </c>
      <c r="C6" s="155" t="s">
        <v>4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55" t="s">
        <v>5</v>
      </c>
      <c r="U6" s="157"/>
      <c r="V6" s="155"/>
      <c r="W6" s="156"/>
      <c r="X6" s="156"/>
      <c r="Y6" s="156"/>
      <c r="Z6" s="156"/>
      <c r="AA6" s="158" t="s">
        <v>50</v>
      </c>
      <c r="AB6" s="159"/>
    </row>
    <row r="7" spans="2:28" ht="18" thickBot="1" x14ac:dyDescent="0.35">
      <c r="B7" s="41" t="s">
        <v>7</v>
      </c>
      <c r="C7" s="160" t="s">
        <v>58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  <c r="T7" s="162">
        <v>44670</v>
      </c>
      <c r="U7" s="163"/>
      <c r="V7" s="164"/>
      <c r="W7" s="164"/>
      <c r="X7" s="164"/>
      <c r="Y7" s="164"/>
      <c r="Z7" s="165"/>
      <c r="AA7" s="166">
        <v>44742</v>
      </c>
      <c r="AB7" s="167"/>
    </row>
    <row r="8" spans="2:28" ht="11.25" customHeight="1" thickBot="1" x14ac:dyDescent="0.35">
      <c r="B8" s="25" t="s">
        <v>8</v>
      </c>
      <c r="C8" s="158" t="s">
        <v>9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5"/>
      <c r="AB8" s="26" t="s">
        <v>10</v>
      </c>
    </row>
    <row r="9" spans="2:28" ht="15" customHeight="1" x14ac:dyDescent="0.3">
      <c r="B9" s="179" t="s">
        <v>11</v>
      </c>
      <c r="C9" s="182" t="s">
        <v>4</v>
      </c>
      <c r="D9" s="185" t="s">
        <v>12</v>
      </c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68" t="s">
        <v>362</v>
      </c>
    </row>
    <row r="10" spans="2:28" ht="19.149999999999999" customHeight="1" x14ac:dyDescent="0.3">
      <c r="B10" s="180"/>
      <c r="C10" s="183"/>
      <c r="D10" s="171" t="s">
        <v>13</v>
      </c>
      <c r="E10" s="125" t="s">
        <v>14</v>
      </c>
      <c r="F10" s="173" t="s">
        <v>15</v>
      </c>
      <c r="G10" s="173" t="s">
        <v>16</v>
      </c>
      <c r="H10" s="173" t="s">
        <v>17</v>
      </c>
      <c r="I10" s="173" t="s">
        <v>18</v>
      </c>
      <c r="J10" s="173" t="s">
        <v>19</v>
      </c>
      <c r="K10" s="173" t="s">
        <v>20</v>
      </c>
      <c r="L10" s="173" t="s">
        <v>21</v>
      </c>
      <c r="M10" s="173" t="s">
        <v>22</v>
      </c>
      <c r="N10" s="173" t="s">
        <v>23</v>
      </c>
      <c r="O10" s="173" t="s">
        <v>24</v>
      </c>
      <c r="P10" s="173" t="s">
        <v>25</v>
      </c>
      <c r="Q10" s="171" t="s">
        <v>26</v>
      </c>
      <c r="R10" s="171" t="s">
        <v>27</v>
      </c>
      <c r="S10" s="171" t="s">
        <v>28</v>
      </c>
      <c r="T10" s="171" t="s">
        <v>29</v>
      </c>
      <c r="U10" s="171" t="s">
        <v>30</v>
      </c>
      <c r="V10" s="171" t="s">
        <v>31</v>
      </c>
      <c r="W10" s="171" t="s">
        <v>32</v>
      </c>
      <c r="X10" s="171" t="s">
        <v>33</v>
      </c>
      <c r="Y10" s="173" t="s">
        <v>34</v>
      </c>
      <c r="Z10" s="173" t="s">
        <v>35</v>
      </c>
      <c r="AA10" s="175" t="s">
        <v>36</v>
      </c>
      <c r="AB10" s="169"/>
    </row>
    <row r="11" spans="2:28" ht="18" customHeight="1" thickBot="1" x14ac:dyDescent="0.35">
      <c r="B11" s="181"/>
      <c r="C11" s="184"/>
      <c r="D11" s="172"/>
      <c r="E11" s="126" t="s">
        <v>37</v>
      </c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2"/>
      <c r="R11" s="172"/>
      <c r="S11" s="172"/>
      <c r="T11" s="172"/>
      <c r="U11" s="172"/>
      <c r="V11" s="172"/>
      <c r="W11" s="172"/>
      <c r="X11" s="172"/>
      <c r="Y11" s="174"/>
      <c r="Z11" s="174"/>
      <c r="AA11" s="176"/>
      <c r="AB11" s="169"/>
    </row>
    <row r="12" spans="2:28" ht="18" customHeight="1" x14ac:dyDescent="0.3">
      <c r="B12" s="188" t="s">
        <v>54</v>
      </c>
      <c r="C12" s="190" t="s">
        <v>59</v>
      </c>
      <c r="D12" s="35"/>
      <c r="E12" s="36" t="s">
        <v>38</v>
      </c>
      <c r="F12" s="36" t="s">
        <v>39</v>
      </c>
      <c r="G12" s="36" t="s">
        <v>39</v>
      </c>
      <c r="H12" s="36" t="s">
        <v>39</v>
      </c>
      <c r="I12" s="36" t="s">
        <v>51</v>
      </c>
      <c r="J12" s="36" t="s">
        <v>39</v>
      </c>
      <c r="K12" s="36" t="s">
        <v>39</v>
      </c>
      <c r="L12" s="36" t="s">
        <v>39</v>
      </c>
      <c r="M12" s="36" t="s">
        <v>39</v>
      </c>
      <c r="N12" s="36" t="s">
        <v>39</v>
      </c>
      <c r="O12" s="36" t="s">
        <v>39</v>
      </c>
      <c r="P12" s="36" t="s">
        <v>39</v>
      </c>
      <c r="Q12" s="36" t="s">
        <v>51</v>
      </c>
      <c r="R12" s="36" t="s">
        <v>39</v>
      </c>
      <c r="S12" s="36" t="s">
        <v>39</v>
      </c>
      <c r="T12" s="36" t="s">
        <v>39</v>
      </c>
      <c r="U12" s="36" t="s">
        <v>39</v>
      </c>
      <c r="V12" s="36" t="s">
        <v>52</v>
      </c>
      <c r="W12" s="36" t="s">
        <v>39</v>
      </c>
      <c r="X12" s="36" t="s">
        <v>39</v>
      </c>
      <c r="Y12" s="36" t="s">
        <v>39</v>
      </c>
      <c r="Z12" s="36" t="s">
        <v>39</v>
      </c>
      <c r="AA12" s="37" t="s">
        <v>39</v>
      </c>
      <c r="AB12" s="169"/>
    </row>
    <row r="13" spans="2:28" ht="17.25" collapsed="1" x14ac:dyDescent="0.3">
      <c r="B13" s="189"/>
      <c r="C13" s="191"/>
      <c r="D13" s="31" t="s">
        <v>40</v>
      </c>
      <c r="E13" s="31" t="str">
        <f>IF(($V$3-$T$7)/($AA13-$T$7)&gt;1,"100%",IF(($V$3-$T$7)/($AA13-$T$7)&lt;0,"0%",($V$3-$T$7)/($AA13-$T$7)))</f>
        <v>100%</v>
      </c>
      <c r="F13" s="38">
        <f>T7</f>
        <v>44670</v>
      </c>
      <c r="G13" s="38">
        <f>IF(G12="o", F13+3, F13)</f>
        <v>44673</v>
      </c>
      <c r="H13" s="38">
        <f>IF(H12="o", G13+4, G13)</f>
        <v>44677</v>
      </c>
      <c r="I13" s="38">
        <f>IF(I12="o", H13+5, H13)</f>
        <v>44677</v>
      </c>
      <c r="J13" s="38">
        <f>IF(J12="o", I13+1, I13)</f>
        <v>44678</v>
      </c>
      <c r="K13" s="38">
        <f>IF(K12="o", J13+1, J13)</f>
        <v>44679</v>
      </c>
      <c r="L13" s="38">
        <f t="shared" ref="L13" si="0">IF(L12="o", K13+2, K13)</f>
        <v>44681</v>
      </c>
      <c r="M13" s="38">
        <f>IF(M12="o", L13+2, L13)</f>
        <v>44683</v>
      </c>
      <c r="N13" s="38">
        <f>IF(N12="o", M13+2, M13)</f>
        <v>44685</v>
      </c>
      <c r="O13" s="38">
        <f>IF(O12="o", N13+3, N13)</f>
        <v>44688</v>
      </c>
      <c r="P13" s="38">
        <f>IF(P12="o", O13+2, O13)</f>
        <v>44690</v>
      </c>
      <c r="Q13" s="38">
        <f t="shared" ref="Q13" si="1">IF(Q12="o", P13+2, P13)</f>
        <v>44690</v>
      </c>
      <c r="R13" s="38">
        <f>IF(R12="o", Q13+3, Q13)</f>
        <v>44693</v>
      </c>
      <c r="S13" s="38">
        <f t="shared" ref="S13:U13" si="2">IF(S12="o", R13+3, R13)</f>
        <v>44696</v>
      </c>
      <c r="T13" s="38">
        <f t="shared" si="2"/>
        <v>44699</v>
      </c>
      <c r="U13" s="38">
        <f t="shared" si="2"/>
        <v>44702</v>
      </c>
      <c r="V13" s="38">
        <f>IF(V12="o", U13+2, U13)</f>
        <v>44704</v>
      </c>
      <c r="W13" s="38">
        <f>IF(W12="o", V13+7, V13)</f>
        <v>44711</v>
      </c>
      <c r="X13" s="38">
        <f>IF(X12="o", W13+7, W13)</f>
        <v>44718</v>
      </c>
      <c r="Y13" s="38">
        <f>IF(Y12="o", X13+7, X13)</f>
        <v>44725</v>
      </c>
      <c r="Z13" s="38">
        <f>IF(Z12="o", Y13+2, Y13)</f>
        <v>44727</v>
      </c>
      <c r="AA13" s="38">
        <f>AA7</f>
        <v>44742</v>
      </c>
      <c r="AB13" s="169"/>
    </row>
    <row r="14" spans="2:28" ht="17.25" hidden="1" outlineLevel="1" x14ac:dyDescent="0.3">
      <c r="B14" s="189"/>
      <c r="C14" s="191"/>
      <c r="D14" s="27" t="s">
        <v>41</v>
      </c>
      <c r="E14" s="28" t="s">
        <v>42</v>
      </c>
      <c r="F14" s="29">
        <f>F13-$T7</f>
        <v>0</v>
      </c>
      <c r="G14" s="29">
        <f>IF($G$12="o",G13-F13,"0")</f>
        <v>3</v>
      </c>
      <c r="H14" s="29">
        <f>IF($H$12="o",IF($G$12="x",H13-F13,H13-G13),"0")</f>
        <v>4</v>
      </c>
      <c r="I14" s="29" t="str">
        <f>IF($I$12="o",IF($H$12="x",IF($G$12="x",I13-F13,I13-G13),I13-H13),"0")</f>
        <v>0</v>
      </c>
      <c r="J14" s="29">
        <f>IF($J$12="o",IF($I$12="x",IF($H$12="x",IF($G$12="x",J13-F13,J13-G13),J13-H13),J13-I13),"0")</f>
        <v>1</v>
      </c>
      <c r="K14" s="29">
        <f>IF($K$12="o",IF($J$12="x",IF($I$12="x",IF($H$12="x",IF($G$12="x",K13-F13,K13-G13),K13-H13),K13-I13),K13-J13),"0")</f>
        <v>1</v>
      </c>
      <c r="L14" s="29">
        <f>IF($L$12="o",IF($K$12="x",IF($J$12="x",IF($I$12="x",IF($H$12="x",IF($G$12="x",L13-F13,L13-G13),L13-H13),L13-I13),L13-J13),L13-K13),"0")</f>
        <v>2</v>
      </c>
      <c r="M14" s="29">
        <f>IF($M$12="o",IF($L$12="x",IF($K$12="x",IF($J$12="x",IF($I$12="x",IF($H$12="x",IF($G$12="x",M13-F13,M13-G13),M13-H13),M13-I13),M13-J13),M13-K13),M13-L13),"0")</f>
        <v>2</v>
      </c>
      <c r="N14" s="29">
        <f>IF($N$12="o",IF($M$12="x",IF($L$12="x",IF($K$12="x",IF($J$12="x",IF($I$12="x",IF($H$12="x",IF($G$12="x",N13-F13,N13-G13),N13-H13),N13-I13),N13-J13),N13-K13),N13-L13),N13-M13),"0")</f>
        <v>2</v>
      </c>
      <c r="O14" s="29">
        <f>IF($O$12="o",IF($N$12="x",IF($M$12="x",IF($L$12="x",IF($K$12="x",IF($J$12="x",IF($I$12="x",IF($H$12="x",IF($G$12="x",O13-F13,O13-G13),O13-H13),O13-I13),O13-J13),O13-K13),O13-L13),O13-M13),O13-N13),"0")</f>
        <v>3</v>
      </c>
      <c r="P14" s="29">
        <f>IF($P$12="o",IF($O$12="x",IF($N$12="x",IF($M$12="x",IF($L$12="x",IF($K$12="x",IF($J$12="x",IF($I$12="x",IF($H$12="x",IF($G$12="x",P13-F13,P13-G13),P13-H13),P13-I13),P13-J13),P13-K13),P13-L13),P13-M13),P13-N13),P13-O13),"0")</f>
        <v>2</v>
      </c>
      <c r="Q14" s="29" t="str">
        <f>IF($Q$12="o",IF($P$12="o",IF($O$12="x",IF($N$12="x",IF($M$12="x",IF($L$12="x",IF($K$12="x",IF($J$12="x",IF($I$12="x",IF($H$12="x",IF($G$12="x",Q13-F13,Q13-G13),Q13-H13),Q13-I13),Q13-J13),Q13-K13),Q13-L13),Q13-M13),Q13-N13),Q13-O13),Q13-P13),"0")</f>
        <v>0</v>
      </c>
      <c r="R14" s="29">
        <f>IF($R$12="o",IF($Q$12="x",IF($P$12="o",IF($O$12="x",IF($N$12="x",IF($M$12="x",IF($L$12="x",IF($K$12="x",IF($J$12="x",IF($I$12="x",IF($H$12="x",IF($G$12="x",R13-F13,R13-G13),R13-H13),R13-I13),R13-J13),R13-K13),R13-L13),R13-M13),R13-N13),R13-O13),R13-P13),R13-Q13),"0")</f>
        <v>5</v>
      </c>
      <c r="S14" s="29">
        <f>IF($S$12="o",IF($R$12="x",IF($Q$12="x",IF($P$12="o",IF($O$12="x",IF($N$12="x",IF($M$12="x",IF($L$12="x",IF($K$12="x",IF($J$12="x",IF($I$12="x",IF($H$12="x",IF($G$12="x",S13-F13,S13-G13),S13-H13),S13-I13),S13-J13),S13-K13),S13-L13),S13-M13),S13-N13),S13-O13),S13-P13),S13-Q13),S13-R13),"0")</f>
        <v>3</v>
      </c>
      <c r="T14" s="29">
        <f>IF($T$12="o",IF($S$12="x",IF($R$12="x",IF($Q$12="x",IF($P$12="o",IF($O$12="x",IF($N$12="x",IF($M$12="x",IF($L$12="x",IF($K$12="x",IF($J$12="x",IF($I$12="x",IF($H$12="x",IF($G$12="x",T13-F13,T13-G13),T13-H13),T13-I13),T13-J13),T13-K13),T13-L13),T13-M13),T13-N13),T13-O13),T13-P13),T13-Q13),T13-R13),T13-S13),"0")</f>
        <v>3</v>
      </c>
      <c r="U14" s="29">
        <f>IF($U$12="o",IF($T$12="x",IF($S$12="x",IF($R$12="x",IF($Q$12="x",IF($P$12="o",IF($O$12="x",IF($N$12="x",IF($M$12="x",IF($L$12="x",IF($K$12="x",IF($J$12="x",IF($I$12="x",IF($H$12="x",IF($G$12="x",U13-F13,U13-G13),U13-H13),U13-I13),U13-J13),U13-K13),U13-L13),U13-M13),U13-N13),U13-O13),U13-P13),U13-Q13),U13-R13),U13-S13),U13-T13),"0")</f>
        <v>3</v>
      </c>
      <c r="V14" s="29">
        <f>IF($V$12="o",IF($U$12="x",IF($T$12="x",IF($S$12="x",IF($R$12="x",IF($Q$12="x",IF($P$12="o",IF($O$12="x",IF($N$12="x",IF($M$12="x",IF($L$12="x",IF($K$12="x",IF($J$12="x",IF($I$12="x",IF($H$12="x",IF($G$12="x",V13-F13,V13-G13),V13-H13),V13-I13),V13-J13),V13-K13),V13-L13),V13-M13),V13-N13),V13-O13),V13-P13),V13-Q13),V13-R13),V13-S13),V13-T13),V13-U13),"0")</f>
        <v>2</v>
      </c>
      <c r="W14" s="29">
        <f>IF($W$12="o",IF($V$12="x",IF($U$12="x",IF($T$12="x",IF($S$12="x",IF($R$12="x",IF($Q$12="x",IF($P$12="o",IF($O$12="x",IF($N$12="x",IF($M$12="x",IF($L$12="x",IF($K$12="x",IF($J$12="x",IF($I$12="x",IF($H$12="x",IF($G$12="x",W13-F13,W13-G13),W13-H13),W13-I13),W13-J13),W13-K13),W13-L13),W13-M13),W13-N13),W13-O13),W13-P13),W13-Q13),W13-R13),W13-S13),W13-T13),W13-U13),W13-V13),"0")</f>
        <v>7</v>
      </c>
      <c r="X14" s="29">
        <f>IF($X$12="o",IF($W$12="x",IF($V$12="x",IF($U$12="x",IF($T$12="x",IF($S$12="x",IF($R$12="x",IF($Q$12="x",IF($P$12="o",IF($O$12="x",IF($N$12="x",IF($M$12="x",IF($L$12="x",IF($K$12="x",IF($J$12="x",IF($I$12="x",IF($H$12="x",IF($G$12="x",X13-F13,X13-G13),X13-H13),X13-I13),X13-J13),X13-K13),X13-L13),X13-M13),X13-N13),X13-O13),X13-P13),X13-Q13),X13-R13),X13-S13),X13-T13),X13-U13),X13-V13),X13-W13),"0")</f>
        <v>7</v>
      </c>
      <c r="Y14" s="29">
        <f>IF($Y$12="o",IF($X$12="x",IF($W$12="x",IF($V$12="x",IF($U$12="x",IF($T$12="x",IF($S$12="x",IF($R$12="x",IF($Q$12="x",IF($P$12="o",IF($O$12="x",IF($N$12="x",IF($M$12="x",IF($L$12="x",IF($K$12="x",IF($J$12="x",IF($I$12="x",IF($H$12="x",IF($G$12="x",Y13-F13,Y13-G13),Y13-H13),Y13-I13),Y13-J13),Y13-K13),Y13-L13),Y13-M13),Y13-N13),Y13-O13),Y13-P13),Y13-Q13),Y13-R13),Y13-S13),Y13-T13),Y13-U13),Y13-V13),Y13-W13),Y13-X13),"0")</f>
        <v>7</v>
      </c>
      <c r="Z14" s="29">
        <f>IF($Z$12="o",IF($Y$12="x",IF($X$12="x",IF($W$12="x",IF($V$12="x",IF($U$12="x",IF($T$12="x",IF($S$12="x",IF($R$12="x",IF($Q$12="x",IF($P$12="o",IF($O$12="x",IF($N$12="x",IF($M$12="x",IF($L$12="x",IF($K$12="x",IF($J$12="x",IF($I$12="x",IF($H$12="x",IF($G$12="x",Z13-F13,Z13-G13),Z13-H13),Z13-I13),Z13-J13),Z13-K13),Z13-L13),Z13-M13),Z13-N13),Z13-O13),Z13-P13),Z13-Q13),Z13-R13),Z13-S13),Z13-T13),Z13-U13),Z13-V13),Z13-W13),Z13-X13),Z13-Y13),"0")</f>
        <v>2</v>
      </c>
      <c r="AA14" s="29">
        <f>IF($AA$12="o",IF($Z$12="x",IF($Y$12="x",IF($X$12="x",IF($W$12="x",IF($V$12="x",IF($U$12="x",IF($T$12="x",IF($S$12="x",IF($R$12="x",IF($Q$12="x",IF($P$12="o",IF($O$12="x",IF($N$12="x",IF($M$12="x",IF($L$12="x",IF($K$12="x",IF($J$12="x",IF($I$12="x",IF($H$12="x",IF($G$12="x",AA13-F13,AA13-G13),AA13-H13),AA13-I13),AA13-J13),AA13-K13),AA13-L13),AA13-M13),AA13-N13),AA13-O13),AA13-P13),AA13-Q13),AA13-R13),AA13-S13),AA13-T13),AA13-U13),AA13-V13),AA13-W13),AA13-X13),AA13-Y13),AA13-Z13),"0")</f>
        <v>15</v>
      </c>
      <c r="AB14" s="169"/>
    </row>
    <row r="15" spans="2:28" ht="17.25" hidden="1" outlineLevel="1" x14ac:dyDescent="0.3">
      <c r="B15" s="189"/>
      <c r="C15" s="191"/>
      <c r="D15" s="27" t="s">
        <v>43</v>
      </c>
      <c r="E15" s="193">
        <f>AA13-$T7</f>
        <v>72</v>
      </c>
      <c r="F15" s="30">
        <f>IF(F14/$E$15&gt;1,"100%",IF(F14/$E$15&lt;0,"0%",F14/$E$15))</f>
        <v>0</v>
      </c>
      <c r="G15" s="30">
        <f>IF(G14/$E$15&gt;1,"100%",IF(G14/$E$15&lt;0,"0%",G14/$E$15))</f>
        <v>4.1666666666666664E-2</v>
      </c>
      <c r="H15" s="30">
        <f t="shared" ref="H15:AA15" si="3">IF(H14/$E$15&gt;1,"100%",IF(H14/$E$15&lt;0,"0%",H14/$E$15))</f>
        <v>5.5555555555555552E-2</v>
      </c>
      <c r="I15" s="30">
        <f t="shared" si="3"/>
        <v>0</v>
      </c>
      <c r="J15" s="30">
        <f t="shared" si="3"/>
        <v>1.3888888888888888E-2</v>
      </c>
      <c r="K15" s="30">
        <f t="shared" si="3"/>
        <v>1.3888888888888888E-2</v>
      </c>
      <c r="L15" s="30">
        <f t="shared" si="3"/>
        <v>2.7777777777777776E-2</v>
      </c>
      <c r="M15" s="30">
        <f t="shared" si="3"/>
        <v>2.7777777777777776E-2</v>
      </c>
      <c r="N15" s="30">
        <f t="shared" si="3"/>
        <v>2.7777777777777776E-2</v>
      </c>
      <c r="O15" s="30">
        <f t="shared" si="3"/>
        <v>4.1666666666666664E-2</v>
      </c>
      <c r="P15" s="30">
        <f t="shared" si="3"/>
        <v>2.7777777777777776E-2</v>
      </c>
      <c r="Q15" s="30">
        <f t="shared" si="3"/>
        <v>0</v>
      </c>
      <c r="R15" s="30">
        <f t="shared" si="3"/>
        <v>6.9444444444444448E-2</v>
      </c>
      <c r="S15" s="30">
        <f t="shared" si="3"/>
        <v>4.1666666666666664E-2</v>
      </c>
      <c r="T15" s="30">
        <f t="shared" si="3"/>
        <v>4.1666666666666664E-2</v>
      </c>
      <c r="U15" s="30">
        <f t="shared" si="3"/>
        <v>4.1666666666666664E-2</v>
      </c>
      <c r="V15" s="30">
        <f t="shared" si="3"/>
        <v>2.7777777777777776E-2</v>
      </c>
      <c r="W15" s="30">
        <f t="shared" si="3"/>
        <v>9.7222222222222224E-2</v>
      </c>
      <c r="X15" s="30">
        <f t="shared" si="3"/>
        <v>9.7222222222222224E-2</v>
      </c>
      <c r="Y15" s="30">
        <f t="shared" si="3"/>
        <v>9.7222222222222224E-2</v>
      </c>
      <c r="Z15" s="30">
        <f t="shared" si="3"/>
        <v>2.7777777777777776E-2</v>
      </c>
      <c r="AA15" s="30">
        <f t="shared" si="3"/>
        <v>0.20833333333333334</v>
      </c>
      <c r="AB15" s="169"/>
    </row>
    <row r="16" spans="2:28" ht="17.25" hidden="1" outlineLevel="1" x14ac:dyDescent="0.3">
      <c r="B16" s="189"/>
      <c r="C16" s="191"/>
      <c r="D16" s="27" t="s">
        <v>44</v>
      </c>
      <c r="E16" s="194"/>
      <c r="F16" s="30">
        <f>F15*F17</f>
        <v>0</v>
      </c>
      <c r="G16" s="30">
        <f t="shared" ref="G16:AA16" si="4">G15*G17</f>
        <v>4.1666666666666664E-2</v>
      </c>
      <c r="H16" s="30">
        <f t="shared" si="4"/>
        <v>5.5555555555555552E-2</v>
      </c>
      <c r="I16" s="30">
        <f t="shared" si="4"/>
        <v>0</v>
      </c>
      <c r="J16" s="30">
        <f t="shared" si="4"/>
        <v>1.3888888888888888E-2</v>
      </c>
      <c r="K16" s="30">
        <f t="shared" si="4"/>
        <v>1.3888888888888888E-2</v>
      </c>
      <c r="L16" s="30">
        <f t="shared" si="4"/>
        <v>2.7777777777777776E-2</v>
      </c>
      <c r="M16" s="30">
        <f t="shared" si="4"/>
        <v>2.7777777777777776E-2</v>
      </c>
      <c r="N16" s="30">
        <f t="shared" si="4"/>
        <v>2.7777777777777776E-2</v>
      </c>
      <c r="O16" s="30">
        <f t="shared" si="4"/>
        <v>4.1666666666666664E-2</v>
      </c>
      <c r="P16" s="30">
        <f t="shared" si="4"/>
        <v>2.7777777777777776E-2</v>
      </c>
      <c r="Q16" s="30">
        <f t="shared" si="4"/>
        <v>0</v>
      </c>
      <c r="R16" s="30">
        <f t="shared" si="4"/>
        <v>6.9444444444444448E-2</v>
      </c>
      <c r="S16" s="30">
        <f t="shared" si="4"/>
        <v>4.1666666666666664E-2</v>
      </c>
      <c r="T16" s="30">
        <f t="shared" si="4"/>
        <v>4.1666666666666664E-2</v>
      </c>
      <c r="U16" s="30">
        <f t="shared" si="4"/>
        <v>4.1666666666666664E-2</v>
      </c>
      <c r="V16" s="30">
        <f t="shared" si="4"/>
        <v>2.7777777777777776E-2</v>
      </c>
      <c r="W16" s="30">
        <f t="shared" si="4"/>
        <v>9.7222222222222224E-2</v>
      </c>
      <c r="X16" s="30">
        <f t="shared" si="4"/>
        <v>9.7222222222222224E-2</v>
      </c>
      <c r="Y16" s="30">
        <f t="shared" si="4"/>
        <v>9.7222222222222224E-2</v>
      </c>
      <c r="Z16" s="30">
        <f t="shared" si="4"/>
        <v>2.7777777777777776E-2</v>
      </c>
      <c r="AA16" s="30">
        <f t="shared" si="4"/>
        <v>0.20833333333333334</v>
      </c>
      <c r="AB16" s="169"/>
    </row>
    <row r="17" spans="2:28" ht="17.25" x14ac:dyDescent="0.3">
      <c r="B17" s="189"/>
      <c r="C17" s="192"/>
      <c r="D17" s="31" t="s">
        <v>45</v>
      </c>
      <c r="E17" s="31">
        <f ca="1">SUMIF($F$12:$AA$12,"o",F16:Z16)</f>
        <v>1.0277777777777779</v>
      </c>
      <c r="F17" s="32">
        <v>1</v>
      </c>
      <c r="G17" s="32">
        <v>1</v>
      </c>
      <c r="H17" s="32">
        <v>1</v>
      </c>
      <c r="I17" s="32"/>
      <c r="J17" s="32">
        <v>1</v>
      </c>
      <c r="K17" s="44">
        <v>1</v>
      </c>
      <c r="L17" s="44">
        <v>1</v>
      </c>
      <c r="M17" s="44">
        <v>1</v>
      </c>
      <c r="N17" s="44">
        <v>1</v>
      </c>
      <c r="O17" s="32">
        <v>1</v>
      </c>
      <c r="P17" s="44">
        <v>1</v>
      </c>
      <c r="Q17" s="32"/>
      <c r="R17" s="32">
        <v>1</v>
      </c>
      <c r="S17" s="32">
        <v>1</v>
      </c>
      <c r="T17" s="44">
        <v>1</v>
      </c>
      <c r="U17" s="44">
        <v>1</v>
      </c>
      <c r="V17" s="44">
        <v>1</v>
      </c>
      <c r="W17" s="44">
        <v>1</v>
      </c>
      <c r="X17" s="32">
        <v>1</v>
      </c>
      <c r="Y17" s="32">
        <v>1</v>
      </c>
      <c r="Z17" s="32">
        <v>1</v>
      </c>
      <c r="AA17" s="34">
        <v>1</v>
      </c>
      <c r="AB17" s="169"/>
    </row>
    <row r="18" spans="2:28" ht="18" thickBot="1" x14ac:dyDescent="0.35">
      <c r="B18" s="199" t="s">
        <v>46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1"/>
      <c r="AB18" s="169"/>
    </row>
    <row r="19" spans="2:28" ht="24" customHeight="1" x14ac:dyDescent="0.3">
      <c r="B19" s="202" t="s">
        <v>305</v>
      </c>
      <c r="C19" s="203"/>
      <c r="D19" s="203"/>
      <c r="E19" s="203"/>
      <c r="F19" s="203"/>
      <c r="G19" s="203"/>
      <c r="H19" s="203"/>
      <c r="I19" s="203"/>
      <c r="J19" s="203"/>
      <c r="K19" s="203" t="s">
        <v>47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48</v>
      </c>
      <c r="V19" s="203"/>
      <c r="W19" s="203"/>
      <c r="X19" s="203"/>
      <c r="Y19" s="203"/>
      <c r="Z19" s="203"/>
      <c r="AA19" s="204"/>
      <c r="AB19" s="169"/>
    </row>
    <row r="20" spans="2:28" ht="27.75" customHeight="1" x14ac:dyDescent="0.3">
      <c r="B20" s="195" t="s">
        <v>364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8"/>
      <c r="AB20" s="169"/>
    </row>
    <row r="21" spans="2:28" ht="27.75" customHeight="1" x14ac:dyDescent="0.3">
      <c r="B21" s="195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69"/>
    </row>
    <row r="22" spans="2:28" ht="27.75" customHeight="1" x14ac:dyDescent="0.3">
      <c r="B22" s="19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8"/>
      <c r="AB22" s="169"/>
    </row>
    <row r="23" spans="2:28" ht="27.75" customHeight="1" x14ac:dyDescent="0.3">
      <c r="B23" s="195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8"/>
      <c r="AB23" s="169"/>
    </row>
    <row r="24" spans="2:28" ht="27.75" customHeight="1" x14ac:dyDescent="0.3">
      <c r="B24" s="195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8"/>
      <c r="AB24" s="169"/>
    </row>
    <row r="25" spans="2:28" ht="27.75" customHeight="1" x14ac:dyDescent="0.3">
      <c r="B25" s="195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8"/>
      <c r="AB25" s="169"/>
    </row>
    <row r="26" spans="2:28" ht="27.75" customHeight="1" x14ac:dyDescent="0.3">
      <c r="B26" s="195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8"/>
      <c r="AB26" s="169"/>
    </row>
    <row r="27" spans="2:28" ht="27.75" customHeight="1" x14ac:dyDescent="0.3">
      <c r="B27" s="195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8"/>
      <c r="AB27" s="169"/>
    </row>
    <row r="28" spans="2:28" ht="188.25" customHeight="1" x14ac:dyDescent="0.3">
      <c r="B28" s="195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8"/>
      <c r="AB28" s="169"/>
    </row>
    <row r="29" spans="2:28" ht="24" customHeight="1" x14ac:dyDescent="0.3">
      <c r="B29" s="205" t="s">
        <v>355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8"/>
      <c r="AB29" s="169"/>
    </row>
    <row r="30" spans="2:28" ht="0.75" customHeight="1" x14ac:dyDescent="0.3">
      <c r="B30" s="195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8"/>
      <c r="AB30" s="169"/>
    </row>
    <row r="31" spans="2:28" ht="24" customHeight="1" thickBot="1" x14ac:dyDescent="0.35"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8"/>
      <c r="AB31" s="170"/>
    </row>
  </sheetData>
  <mergeCells count="54">
    <mergeCell ref="B20:J28"/>
    <mergeCell ref="K20:T28"/>
    <mergeCell ref="U20:AA28"/>
    <mergeCell ref="B29:AA31"/>
    <mergeCell ref="B12:B17"/>
    <mergeCell ref="C12:C17"/>
    <mergeCell ref="E15:E16"/>
    <mergeCell ref="B18:AA18"/>
    <mergeCell ref="B19:J19"/>
    <mergeCell ref="K19:T19"/>
    <mergeCell ref="U19:AA19"/>
    <mergeCell ref="V10:V11"/>
    <mergeCell ref="W10:W11"/>
    <mergeCell ref="X10:X11"/>
    <mergeCell ref="Y10:Y11"/>
    <mergeCell ref="Z10:Z11"/>
    <mergeCell ref="AA10:AA11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C8:AA8"/>
    <mergeCell ref="B9:B11"/>
    <mergeCell ref="C9:C11"/>
    <mergeCell ref="D9:AA9"/>
    <mergeCell ref="AB9:AB31"/>
    <mergeCell ref="D10:D11"/>
    <mergeCell ref="F10:F11"/>
    <mergeCell ref="G10:G11"/>
    <mergeCell ref="H10:H11"/>
    <mergeCell ref="I10:I11"/>
    <mergeCell ref="C6:S6"/>
    <mergeCell ref="T6:U6"/>
    <mergeCell ref="V6:Z6"/>
    <mergeCell ref="AA6:AB6"/>
    <mergeCell ref="C7:S7"/>
    <mergeCell ref="T7:U7"/>
    <mergeCell ref="V7:Z7"/>
    <mergeCell ref="AA7:AB7"/>
    <mergeCell ref="B2:U5"/>
    <mergeCell ref="V2:W2"/>
    <mergeCell ref="X2:Z2"/>
    <mergeCell ref="AA2:AB2"/>
    <mergeCell ref="V3:W5"/>
    <mergeCell ref="X3:Z5"/>
    <mergeCell ref="AA3:AB5"/>
  </mergeCells>
  <phoneticPr fontId="3" type="noConversion"/>
  <conditionalFormatting sqref="F13:Z13">
    <cfRule type="expression" dxfId="1" priority="2">
      <formula>F12="x"</formula>
    </cfRule>
  </conditionalFormatting>
  <conditionalFormatting sqref="AA13">
    <cfRule type="expression" dxfId="0" priority="1">
      <formula>AA12="x"</formula>
    </cfRule>
  </conditionalFormatting>
  <dataValidations count="1">
    <dataValidation type="list" allowBlank="1" showInputMessage="1" showErrorMessage="1" sqref="F12:AA12">
      <formula1>"O,X"</formula1>
    </dataValidation>
  </dataValidation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100</vt:i4>
      </vt:variant>
    </vt:vector>
  </HeadingPairs>
  <TitlesOfParts>
    <vt:vector size="100" baseType="lpstr">
      <vt:lpstr>20220419</vt:lpstr>
      <vt:lpstr>20220420</vt:lpstr>
      <vt:lpstr>20220421</vt:lpstr>
      <vt:lpstr>20220422</vt:lpstr>
      <vt:lpstr>20220425</vt:lpstr>
      <vt:lpstr>20220426</vt:lpstr>
      <vt:lpstr>20220428</vt:lpstr>
      <vt:lpstr>20220429</vt:lpstr>
      <vt:lpstr>20220502</vt:lpstr>
      <vt:lpstr>20220503</vt:lpstr>
      <vt:lpstr>20220504</vt:lpstr>
      <vt:lpstr>20220506</vt:lpstr>
      <vt:lpstr>20220509</vt:lpstr>
      <vt:lpstr>20220510</vt:lpstr>
      <vt:lpstr>20220511</vt:lpstr>
      <vt:lpstr>20220512</vt:lpstr>
      <vt:lpstr>20220513</vt:lpstr>
      <vt:lpstr>20220516</vt:lpstr>
      <vt:lpstr>20220517</vt:lpstr>
      <vt:lpstr>20220518</vt:lpstr>
      <vt:lpstr>20220519</vt:lpstr>
      <vt:lpstr>20220520</vt:lpstr>
      <vt:lpstr>20220523</vt:lpstr>
      <vt:lpstr>20220524</vt:lpstr>
      <vt:lpstr>20220525</vt:lpstr>
      <vt:lpstr>20220526</vt:lpstr>
      <vt:lpstr>20220527</vt:lpstr>
      <vt:lpstr>20220530</vt:lpstr>
      <vt:lpstr>20220531</vt:lpstr>
      <vt:lpstr>20220602</vt:lpstr>
      <vt:lpstr>20220603</vt:lpstr>
      <vt:lpstr>20220606</vt:lpstr>
      <vt:lpstr>20220607</vt:lpstr>
      <vt:lpstr>20220608</vt:lpstr>
      <vt:lpstr>20220609</vt:lpstr>
      <vt:lpstr>20220610</vt:lpstr>
      <vt:lpstr>20220613</vt:lpstr>
      <vt:lpstr>20220614</vt:lpstr>
      <vt:lpstr>20220615</vt:lpstr>
      <vt:lpstr>20220616</vt:lpstr>
      <vt:lpstr>20220617</vt:lpstr>
      <vt:lpstr>20220620</vt:lpstr>
      <vt:lpstr>20220621)</vt:lpstr>
      <vt:lpstr>20220622</vt:lpstr>
      <vt:lpstr>20220623</vt:lpstr>
      <vt:lpstr>20220624</vt:lpstr>
      <vt:lpstr>20220627</vt:lpstr>
      <vt:lpstr>20220628</vt:lpstr>
      <vt:lpstr>20220705</vt:lpstr>
      <vt:lpstr>20220711</vt:lpstr>
      <vt:lpstr>20220712</vt:lpstr>
      <vt:lpstr>20220713</vt:lpstr>
      <vt:lpstr>20220715</vt:lpstr>
      <vt:lpstr>20220725</vt:lpstr>
      <vt:lpstr>20220726</vt:lpstr>
      <vt:lpstr>20220727</vt:lpstr>
      <vt:lpstr>20220728</vt:lpstr>
      <vt:lpstr>20220801</vt:lpstr>
      <vt:lpstr>20220802</vt:lpstr>
      <vt:lpstr>20220803</vt:lpstr>
      <vt:lpstr>20220804</vt:lpstr>
      <vt:lpstr>20220805</vt:lpstr>
      <vt:lpstr>20220808</vt:lpstr>
      <vt:lpstr>20220809</vt:lpstr>
      <vt:lpstr>20220810</vt:lpstr>
      <vt:lpstr>20220811</vt:lpstr>
      <vt:lpstr>20220816</vt:lpstr>
      <vt:lpstr>20220817</vt:lpstr>
      <vt:lpstr>20220818</vt:lpstr>
      <vt:lpstr>20220819</vt:lpstr>
      <vt:lpstr>20220822</vt:lpstr>
      <vt:lpstr>20220823</vt:lpstr>
      <vt:lpstr>20220825</vt:lpstr>
      <vt:lpstr>20220826</vt:lpstr>
      <vt:lpstr>20220829</vt:lpstr>
      <vt:lpstr>20220830</vt:lpstr>
      <vt:lpstr>20220901</vt:lpstr>
      <vt:lpstr>20220902</vt:lpstr>
      <vt:lpstr>20220905</vt:lpstr>
      <vt:lpstr>20220906</vt:lpstr>
      <vt:lpstr>20220907</vt:lpstr>
      <vt:lpstr>20220913</vt:lpstr>
      <vt:lpstr>20220914</vt:lpstr>
      <vt:lpstr>20220915</vt:lpstr>
      <vt:lpstr>20220916</vt:lpstr>
      <vt:lpstr>20220917</vt:lpstr>
      <vt:lpstr>20220919</vt:lpstr>
      <vt:lpstr>20220920</vt:lpstr>
      <vt:lpstr>20220921</vt:lpstr>
      <vt:lpstr>20220922</vt:lpstr>
      <vt:lpstr>20220923</vt:lpstr>
      <vt:lpstr>20220926</vt:lpstr>
      <vt:lpstr>20220927</vt:lpstr>
      <vt:lpstr>20220928</vt:lpstr>
      <vt:lpstr>20220929</vt:lpstr>
      <vt:lpstr>20220930</vt:lpstr>
      <vt:lpstr>20221004</vt:lpstr>
      <vt:lpstr>20221005</vt:lpstr>
      <vt:lpstr>20221006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황광식</dc:creator>
  <cp:lastModifiedBy>오희돈</cp:lastModifiedBy>
  <dcterms:created xsi:type="dcterms:W3CDTF">2022-03-24T23:50:46Z</dcterms:created>
  <dcterms:modified xsi:type="dcterms:W3CDTF">2022-10-06T23:54:33Z</dcterms:modified>
</cp:coreProperties>
</file>