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최승현\Desktop\"/>
    </mc:Choice>
  </mc:AlternateContent>
  <xr:revisionPtr revIDLastSave="0" documentId="13_ncr:1_{C9C899F1-657E-4AF8-8270-13390756F7D2}" xr6:coauthVersionLast="36" xr6:coauthVersionMax="47" xr10:uidLastSave="{00000000-0000-0000-0000-000000000000}"/>
  <bookViews>
    <workbookView xWindow="0" yWindow="0" windowWidth="51600" windowHeight="17580" xr2:uid="{5EAD49B6-B9B9-407F-8E41-3743985C9394}"/>
  </bookViews>
  <sheets>
    <sheet name="CELL 분판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2" l="1"/>
  <c r="G38" i="2"/>
  <c r="G37" i="2"/>
  <c r="G36" i="2"/>
  <c r="G35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H18" i="2"/>
  <c r="G18" i="2"/>
  <c r="H17" i="2"/>
  <c r="G17" i="2"/>
  <c r="H16" i="2"/>
  <c r="G16" i="2"/>
  <c r="H15" i="2"/>
  <c r="G15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B1" i="2" l="1"/>
</calcChain>
</file>

<file path=xl/sharedStrings.xml><?xml version="1.0" encoding="utf-8"?>
<sst xmlns="http://schemas.openxmlformats.org/spreadsheetml/2006/main" count="173" uniqueCount="90">
  <si>
    <t>CELL 분판 검사기 STAGE</t>
    <phoneticPr fontId="2" type="noConversion"/>
  </si>
  <si>
    <t>MC4U-NT-hp 22"+ MC4U-DC 19"+ MC4U-DC 19" + 
Udihp4440N01S+Udihp4440N01S+
Udihp2220N01S+Udilt4400N01S+
Udilt4400N01S+Udilt4400N01S+Udilt4400N01S</t>
    <phoneticPr fontId="2" type="noConversion"/>
  </si>
  <si>
    <t>1대</t>
    <phoneticPr fontId="2" type="noConversion"/>
  </si>
  <si>
    <t>Axis Name</t>
    <phoneticPr fontId="2" type="noConversion"/>
  </si>
  <si>
    <t>MODEL ( Motor Type)</t>
    <phoneticPr fontId="2" type="noConversion"/>
  </si>
  <si>
    <t xml:space="preserve">Strok : </t>
    <phoneticPr fontId="2" type="noConversion"/>
  </si>
  <si>
    <t>Con
Current[A]</t>
    <phoneticPr fontId="2" type="noConversion"/>
  </si>
  <si>
    <t>Peak
Current[A]</t>
    <phoneticPr fontId="2" type="noConversion"/>
  </si>
  <si>
    <t>Max Speed/Max Acc
(mm/s : G)</t>
    <phoneticPr fontId="2" type="noConversion"/>
  </si>
  <si>
    <t>Remarks</t>
    <phoneticPr fontId="2" type="noConversion"/>
  </si>
  <si>
    <t>Control : 64 Axis
Buffer : 64 EA</t>
    <phoneticPr fontId="2" type="noConversion"/>
  </si>
  <si>
    <t>Motor 수량</t>
    <phoneticPr fontId="2" type="noConversion"/>
  </si>
  <si>
    <t>MC4U-Body</t>
    <phoneticPr fontId="2" type="noConversion"/>
  </si>
  <si>
    <t>AXIS</t>
    <phoneticPr fontId="2" type="noConversion"/>
  </si>
  <si>
    <t>AKM30-B4 (Core Type)_9.6/28.8rmsA</t>
  </si>
  <si>
    <t>500 : 0.1</t>
    <phoneticPr fontId="2" type="noConversion"/>
  </si>
  <si>
    <t>Linear ENC(Analog)</t>
    <phoneticPr fontId="2" type="noConversion"/>
  </si>
  <si>
    <t>DDM3U-2-320V-15A</t>
    <phoneticPr fontId="2" type="noConversion"/>
  </si>
  <si>
    <t>22"</t>
    <phoneticPr fontId="2" type="noConversion"/>
  </si>
  <si>
    <t>AJM80-B2 (Core Type)_2.3/9.0rmsA</t>
  </si>
  <si>
    <t>DDM3U-2-320V-5A</t>
    <phoneticPr fontId="2" type="noConversion"/>
  </si>
  <si>
    <t>AJM50-B2 (Core Type)_2.3/9.0rmsA</t>
  </si>
  <si>
    <t>AKM50-B4 (Core Type)_9.6/28.8rmsA</t>
  </si>
  <si>
    <t>SGM7A-15AFA2C (감속기 3:1)</t>
  </si>
  <si>
    <t>300 : 0.1</t>
    <phoneticPr fontId="2" type="noConversion"/>
  </si>
  <si>
    <t>Udihp4440N01S</t>
    <phoneticPr fontId="2" type="noConversion"/>
  </si>
  <si>
    <t>10 : 0.1</t>
    <phoneticPr fontId="2" type="noConversion"/>
  </si>
  <si>
    <t>Udihp2220N01S</t>
    <phoneticPr fontId="2" type="noConversion"/>
  </si>
  <si>
    <t>R0-Axis (Base Low Rotate) _ 28</t>
    <phoneticPr fontId="2" type="noConversion"/>
  </si>
  <si>
    <t>ND400-65FSP (ABS)</t>
  </si>
  <si>
    <r>
      <t>270</t>
    </r>
    <r>
      <rPr>
        <sz val="11"/>
        <color theme="1"/>
        <rFont val="맑은 고딕"/>
        <family val="3"/>
        <charset val="129"/>
      </rPr>
      <t>°</t>
    </r>
    <phoneticPr fontId="2" type="noConversion"/>
  </si>
  <si>
    <t>4 rps</t>
    <phoneticPr fontId="2" type="noConversion"/>
  </si>
  <si>
    <t>Driver Ouput(Digital)</t>
    <phoneticPr fontId="2" type="noConversion"/>
  </si>
  <si>
    <t>20 : 0.1</t>
    <phoneticPr fontId="2" type="noConversion"/>
  </si>
  <si>
    <t>Linear ENC(Digital)</t>
    <phoneticPr fontId="2" type="noConversion"/>
  </si>
  <si>
    <t>Udilt4400N01S</t>
    <phoneticPr fontId="2" type="noConversion"/>
  </si>
  <si>
    <t>19"</t>
    <phoneticPr fontId="2" type="noConversion"/>
  </si>
  <si>
    <t>100 : 0.1</t>
    <phoneticPr fontId="2" type="noConversion"/>
  </si>
  <si>
    <t>SGM7A-01AFA21</t>
  </si>
  <si>
    <t>SGM7A-01AFA2C</t>
  </si>
  <si>
    <t>0,1</t>
    <phoneticPr fontId="2" type="noConversion"/>
  </si>
  <si>
    <t>2,3</t>
    <phoneticPr fontId="2" type="noConversion"/>
  </si>
  <si>
    <t>4,5</t>
    <phoneticPr fontId="2" type="noConversion"/>
  </si>
  <si>
    <t>6,7</t>
    <phoneticPr fontId="2" type="noConversion"/>
  </si>
  <si>
    <t>8,9</t>
    <phoneticPr fontId="2" type="noConversion"/>
  </si>
  <si>
    <t>10,11</t>
    <phoneticPr fontId="2" type="noConversion"/>
  </si>
  <si>
    <t>12,13</t>
    <phoneticPr fontId="2" type="noConversion"/>
  </si>
  <si>
    <t>16,17</t>
    <phoneticPr fontId="2" type="noConversion"/>
  </si>
  <si>
    <t>18,19</t>
    <phoneticPr fontId="2" type="noConversion"/>
  </si>
  <si>
    <t>SP_X-Axis (Base Low) _ 18</t>
    <phoneticPr fontId="2" type="noConversion"/>
  </si>
  <si>
    <t>SP_Y-Axis (Base Align Y) _ 19</t>
    <phoneticPr fontId="2" type="noConversion"/>
  </si>
  <si>
    <t>X4, X5-Axis (Base Gantry 1) _ 4, 5</t>
    <phoneticPr fontId="2" type="noConversion"/>
  </si>
  <si>
    <t>X6, X6-Axis (Base Gantry 2) _ 6, 7</t>
    <phoneticPr fontId="2" type="noConversion"/>
  </si>
  <si>
    <t>X8, X9-Axis (Base Gantry 3) _ 8, 9</t>
    <phoneticPr fontId="2" type="noConversion"/>
  </si>
  <si>
    <t>X10, X11-Axis (Base Gantry 4) _ 10, 11</t>
    <phoneticPr fontId="2" type="noConversion"/>
  </si>
  <si>
    <t>X12, X13-Axis (Base Gantry 5) _ 12, 13</t>
    <phoneticPr fontId="2" type="noConversion"/>
  </si>
  <si>
    <t>UZ0, 1-Axis (Probe Gantry 1 In Wedge)_ 39, 40</t>
    <phoneticPr fontId="2" type="noConversion"/>
  </si>
  <si>
    <t>UZ2, 3-Axis (Probe Gantry 2 In Wedge)_ 42, 43</t>
    <phoneticPr fontId="2" type="noConversion"/>
  </si>
  <si>
    <t>UZ4, 5-Axis (Probe Gantry 3 In Wedge)_ 44, 45</t>
    <phoneticPr fontId="2" type="noConversion"/>
  </si>
  <si>
    <t>UZ6, 7-Axis (Probe Gantry 4 In Wedge)_ 46, 47</t>
    <phoneticPr fontId="2" type="noConversion"/>
  </si>
  <si>
    <t>UZ8, 9-Axis (Probe Gantry 5 In Wedge)_ 48, 49</t>
    <phoneticPr fontId="2" type="noConversion"/>
  </si>
  <si>
    <t>PYAW0-Axis (Base Gantry 1 In Theta) _ 29</t>
    <phoneticPr fontId="2" type="noConversion"/>
  </si>
  <si>
    <t>PYAW1-Axis (Base Gantry 2 In Theta) _ 30</t>
    <phoneticPr fontId="2" type="noConversion"/>
  </si>
  <si>
    <t>PYAW2-Axis (Base Gantry 3 In Theta) _ 31</t>
    <phoneticPr fontId="2" type="noConversion"/>
  </si>
  <si>
    <t>PYAW3-Axis (Base Gantry 4 In Theta) _ 32</t>
    <phoneticPr fontId="2" type="noConversion"/>
  </si>
  <si>
    <t>PYAW4-Axis (Base Gantry 5 In Theta) _ 33</t>
    <phoneticPr fontId="2" type="noConversion"/>
  </si>
  <si>
    <t>24,25</t>
    <phoneticPr fontId="2" type="noConversion"/>
  </si>
  <si>
    <t>26,27</t>
    <phoneticPr fontId="2" type="noConversion"/>
  </si>
  <si>
    <t>42,43</t>
    <phoneticPr fontId="2" type="noConversion"/>
  </si>
  <si>
    <t>44,45</t>
    <phoneticPr fontId="2" type="noConversion"/>
  </si>
  <si>
    <t>46,47</t>
    <phoneticPr fontId="2" type="noConversion"/>
  </si>
  <si>
    <t>48,49</t>
    <phoneticPr fontId="2" type="noConversion"/>
  </si>
  <si>
    <t>50,51</t>
    <phoneticPr fontId="2" type="noConversion"/>
  </si>
  <si>
    <t>X0, X1-Axis (Rear Gantry)</t>
    <phoneticPr fontId="2" type="noConversion"/>
  </si>
  <si>
    <t>X2, X3-Axis (Front Gantry)</t>
    <phoneticPr fontId="2" type="noConversion"/>
  </si>
  <si>
    <t>PY0-Axis (Base Gantry 1 In Y) _ 23</t>
    <phoneticPr fontId="2" type="noConversion"/>
  </si>
  <si>
    <t>PY1-Axis (Base Gantry 2 In Y) _ 24</t>
    <phoneticPr fontId="2" type="noConversion"/>
  </si>
  <si>
    <t>PY2-Axis (Base Gantry 3 In Y) _ 25</t>
    <phoneticPr fontId="2" type="noConversion"/>
  </si>
  <si>
    <t>PY3-Axis (Base Gantry 4 In Y) _ 26</t>
    <phoneticPr fontId="2" type="noConversion"/>
  </si>
  <si>
    <t>PY4-Axis (Base Gantry 5 In Y) _ 27</t>
    <phoneticPr fontId="2" type="noConversion"/>
  </si>
  <si>
    <t>21(삭제축)</t>
    <phoneticPr fontId="2" type="noConversion"/>
  </si>
  <si>
    <t>PDMnt</t>
    <phoneticPr fontId="2" type="noConversion"/>
  </si>
  <si>
    <t>52,53</t>
    <phoneticPr fontId="2" type="noConversion"/>
  </si>
  <si>
    <t>14, 15</t>
    <phoneticPr fontId="2" type="noConversion"/>
  </si>
  <si>
    <t>22, 23</t>
    <phoneticPr fontId="2" type="noConversion"/>
  </si>
  <si>
    <t>40, 41</t>
    <phoneticPr fontId="2" type="noConversion"/>
  </si>
  <si>
    <t>Y0, Y1-Axis (Rear Gantry Cross1, 2) _ 14, 15</t>
    <phoneticPr fontId="2" type="noConversion"/>
  </si>
  <si>
    <t>Y2, Y3-Axis (Front Gantry Cross3, 4) _ 16, 17</t>
    <phoneticPr fontId="2" type="noConversion"/>
  </si>
  <si>
    <t>Z0, Z2-Axis (Rear Gantry Z Gantry) _ 19, 20</t>
    <phoneticPr fontId="2" type="noConversion"/>
  </si>
  <si>
    <t>Z1, Z3-Axis (Front Gantry Z Gantry) _ 21, 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</si>
</sst>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name val="Arial"/>
      <family val="2"/>
    </font>
    <font>
      <b/>
      <sz val="16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0" borderId="5" xfId="0" applyBorder="1">
      <alignment vertical="center"/>
    </xf>
    <xf numFmtId="41" fontId="0" fillId="0" borderId="4" xfId="1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49" fontId="0" fillId="0" borderId="5" xfId="0" quotePrefix="1" applyNumberForma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0" fillId="0" borderId="5" xfId="0" applyBorder="1" applyAlignment="1">
      <alignment horizontal="left" vertical="center" wrapText="1"/>
    </xf>
    <xf numFmtId="41" fontId="0" fillId="0" borderId="4" xfId="1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7" borderId="5" xfId="0" applyFill="1" applyBorder="1">
      <alignment vertical="center"/>
    </xf>
    <xf numFmtId="41" fontId="0" fillId="0" borderId="4" xfId="1" applyFont="1" applyBorder="1">
      <alignment vertical="center"/>
    </xf>
    <xf numFmtId="49" fontId="0" fillId="8" borderId="5" xfId="0" quotePrefix="1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41" fontId="0" fillId="0" borderId="4" xfId="1" applyFont="1" applyBorder="1" applyAlignment="1">
      <alignment horizontal="right" vertical="center"/>
    </xf>
    <xf numFmtId="0" fontId="0" fillId="10" borderId="5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7" fillId="0" borderId="0" xfId="0" applyFont="1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Fill="1" applyBorder="1">
      <alignment vertical="center"/>
    </xf>
    <xf numFmtId="0" fontId="0" fillId="4" borderId="0" xfId="0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2" borderId="2" xfId="0" applyFill="1" applyBorder="1" applyAlignment="1">
      <alignment horizontal="left" vertical="center"/>
    </xf>
    <xf numFmtId="0" fontId="0" fillId="13" borderId="5" xfId="0" applyFill="1" applyBorder="1">
      <alignment vertical="center"/>
    </xf>
    <xf numFmtId="41" fontId="0" fillId="12" borderId="4" xfId="1" applyFont="1" applyFill="1" applyBorder="1">
      <alignment vertical="center"/>
    </xf>
    <xf numFmtId="2" fontId="0" fillId="12" borderId="2" xfId="0" applyNumberFormat="1" applyFill="1" applyBorder="1" applyAlignment="1">
      <alignment horizontal="center" vertical="center"/>
    </xf>
    <xf numFmtId="2" fontId="0" fillId="12" borderId="4" xfId="0" applyNumberFormat="1" applyFill="1" applyBorder="1" applyAlignment="1">
      <alignment horizontal="center" vertical="center"/>
    </xf>
    <xf numFmtId="49" fontId="0" fillId="12" borderId="5" xfId="0" quotePrefix="1" applyNumberFormat="1" applyFill="1" applyBorder="1" applyAlignment="1">
      <alignment horizontal="center" vertical="center"/>
    </xf>
    <xf numFmtId="0" fontId="5" fillId="12" borderId="5" xfId="0" applyFont="1" applyFill="1" applyBorder="1">
      <alignment vertical="center"/>
    </xf>
    <xf numFmtId="0" fontId="0" fillId="12" borderId="2" xfId="0" applyFill="1" applyBorder="1" applyAlignment="1">
      <alignment horizontal="center" vertical="center"/>
    </xf>
    <xf numFmtId="0" fontId="0" fillId="12" borderId="5" xfId="0" applyFill="1" applyBorder="1">
      <alignment vertical="center"/>
    </xf>
    <xf numFmtId="2" fontId="0" fillId="12" borderId="5" xfId="0" applyNumberFormat="1" applyFill="1" applyBorder="1" applyAlignment="1">
      <alignment horizontal="center" vertical="center"/>
    </xf>
    <xf numFmtId="0" fontId="0" fillId="12" borderId="0" xfId="0" applyFill="1">
      <alignment vertical="center"/>
    </xf>
    <xf numFmtId="0" fontId="0" fillId="12" borderId="5" xfId="0" applyFill="1" applyBorder="1" applyAlignment="1">
      <alignment horizontal="left" vertical="center" wrapText="1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2" fontId="0" fillId="12" borderId="2" xfId="0" applyNumberFormat="1" applyFill="1" applyBorder="1" applyAlignment="1">
      <alignment horizontal="center" vertical="center"/>
    </xf>
    <xf numFmtId="2" fontId="0" fillId="12" borderId="4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8" borderId="2" xfId="0" applyNumberFormat="1" applyFill="1" applyBorder="1" applyAlignment="1">
      <alignment horizontal="center" vertical="center"/>
    </xf>
    <xf numFmtId="2" fontId="0" fillId="8" borderId="4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lserver\ATL%20&#44277;&#50976;&#50629;&#47924;\&#9734;&#51228;&#50612;&#54016;%20&#44277;&#50976;&#50629;&#47924;\&#9670;%20ATL-21-225%20Project%20&#9670;\ATL21%2010%20050_HBS%20CELL%20&#48516;&#54032;%20&#44160;&#49324;&#44592;\CELL%20&#48516;&#54032;%20&#44160;&#49324;%20Stage%20&#44204;&#51201;%20&#44592;&#52488;&#51088;&#47308;_202111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략"/>
      <sheetName val="제어기 선정"/>
      <sheetName val="CELL 분판"/>
      <sheetName val="MOTOR"/>
      <sheetName val="CELL 분판 (2)"/>
    </sheetNames>
    <sheetDataSet>
      <sheetData sheetId="0" refreshError="1"/>
      <sheetData sheetId="1" refreshError="1"/>
      <sheetData sheetId="2" refreshError="1"/>
      <sheetData sheetId="3">
        <row r="6">
          <cell r="E6" t="str">
            <v>SGLFW-1ZA380BP (Core Type)</v>
          </cell>
          <cell r="F6">
            <v>17.5</v>
          </cell>
          <cell r="G6">
            <v>43.6</v>
          </cell>
          <cell r="H6">
            <v>24.744999999999997</v>
          </cell>
          <cell r="I6">
            <v>61.650399999999998</v>
          </cell>
        </row>
        <row r="7">
          <cell r="E7" t="str">
            <v>SGLFW-1ZA200BP (Core Type)</v>
          </cell>
          <cell r="F7">
            <v>8.6999999999999993</v>
          </cell>
          <cell r="G7">
            <v>21.6</v>
          </cell>
          <cell r="H7">
            <v>12.301799999999998</v>
          </cell>
          <cell r="I7">
            <v>30.542400000000001</v>
          </cell>
        </row>
        <row r="8">
          <cell r="E8" t="str">
            <v>SGLFW-50A380BP (Core Type)</v>
          </cell>
          <cell r="F8">
            <v>10</v>
          </cell>
          <cell r="G8">
            <v>25</v>
          </cell>
          <cell r="H8">
            <v>14.139999999999999</v>
          </cell>
          <cell r="I8">
            <v>35.35</v>
          </cell>
        </row>
        <row r="9">
          <cell r="E9" t="str">
            <v>SGLFW-50A200BP (Core Type)</v>
          </cell>
          <cell r="F9">
            <v>5</v>
          </cell>
          <cell r="G9">
            <v>12.4</v>
          </cell>
          <cell r="H9">
            <v>7.0699999999999994</v>
          </cell>
          <cell r="I9">
            <v>17.5336</v>
          </cell>
        </row>
        <row r="10">
          <cell r="E10" t="str">
            <v>SGLFW-35A230AP (Core Type)</v>
          </cell>
          <cell r="F10">
            <v>2.8</v>
          </cell>
          <cell r="G10">
            <v>8.8000000000000007</v>
          </cell>
          <cell r="H10">
            <v>3.9591999999999996</v>
          </cell>
          <cell r="I10">
            <v>12.443200000000001</v>
          </cell>
        </row>
        <row r="11">
          <cell r="E11" t="str">
            <v>SGLFW-35A120AP (Core Type)</v>
          </cell>
          <cell r="F11">
            <v>1.4</v>
          </cell>
          <cell r="G11">
            <v>4.4000000000000004</v>
          </cell>
          <cell r="H11">
            <v>1.9795999999999998</v>
          </cell>
          <cell r="I11">
            <v>6.2216000000000005</v>
          </cell>
        </row>
        <row r="12">
          <cell r="E12" t="str">
            <v>SGLFW-20A120AP (Core Type)</v>
          </cell>
          <cell r="F12">
            <v>0.8</v>
          </cell>
          <cell r="G12">
            <v>2.9</v>
          </cell>
          <cell r="H12">
            <v>1.1312</v>
          </cell>
          <cell r="I12">
            <v>4.1006</v>
          </cell>
        </row>
        <row r="13">
          <cell r="E13" t="str">
            <v>SGLFW-20A90AP (Core Type)</v>
          </cell>
          <cell r="F13">
            <v>0.7</v>
          </cell>
          <cell r="G13">
            <v>3</v>
          </cell>
          <cell r="H13">
            <v>0.9897999999999999</v>
          </cell>
          <cell r="I13">
            <v>4.242</v>
          </cell>
        </row>
        <row r="14">
          <cell r="E14" t="str">
            <v>SGMJV-04ADA2C (Rotary Motor)</v>
          </cell>
          <cell r="H14">
            <v>0</v>
          </cell>
          <cell r="I14">
            <v>0</v>
          </cell>
        </row>
        <row r="15">
          <cell r="E15" t="str">
            <v>SGMJV-08ADA2C (Rotary Motor)</v>
          </cell>
          <cell r="H15">
            <v>0</v>
          </cell>
          <cell r="I15">
            <v>0</v>
          </cell>
        </row>
        <row r="16">
          <cell r="E16" t="str">
            <v>ND400-65-FSP (Nikkidenso)</v>
          </cell>
          <cell r="H16">
            <v>0</v>
          </cell>
          <cell r="I16">
            <v>0</v>
          </cell>
        </row>
        <row r="17">
          <cell r="E17" t="str">
            <v>AUM5-P-S8 (Coreless Type)_5/36 rmsA</v>
          </cell>
          <cell r="F17">
            <v>3.02</v>
          </cell>
          <cell r="G17">
            <v>4.28</v>
          </cell>
          <cell r="H17">
            <v>17.081119999999999</v>
          </cell>
          <cell r="I17">
            <v>24.20768</v>
          </cell>
        </row>
        <row r="18">
          <cell r="E18" t="str">
            <v>AKM30-B4 (Core Type)_9.6/28.8rmsA</v>
          </cell>
          <cell r="F18">
            <v>9.6</v>
          </cell>
          <cell r="G18">
            <v>28.8</v>
          </cell>
          <cell r="H18">
            <v>13.574399999999999</v>
          </cell>
          <cell r="I18">
            <v>40.723199999999999</v>
          </cell>
        </row>
        <row r="19">
          <cell r="E19" t="str">
            <v>AKM50-B2 (Core Type)_4.8/14.8rmsA</v>
          </cell>
          <cell r="F19">
            <v>2.33</v>
          </cell>
          <cell r="G19">
            <v>4.82</v>
          </cell>
          <cell r="H19">
            <v>3.2946200000000001</v>
          </cell>
          <cell r="I19">
            <v>6.81548</v>
          </cell>
        </row>
        <row r="20">
          <cell r="E20" t="str">
            <v>AKM50-B2 (Core Type)_4.8/14.8rmsA</v>
          </cell>
          <cell r="F20">
            <v>1.59</v>
          </cell>
          <cell r="G20">
            <v>4.4800000000000004</v>
          </cell>
          <cell r="H20">
            <v>2.2482600000000001</v>
          </cell>
          <cell r="I20">
            <v>6.3347199999999999</v>
          </cell>
        </row>
        <row r="21">
          <cell r="E21" t="str">
            <v>AKM50-B4 (Core Type)_9.6/28.8rmsA</v>
          </cell>
          <cell r="F21">
            <v>9.6</v>
          </cell>
          <cell r="G21">
            <v>28.8</v>
          </cell>
          <cell r="H21">
            <v>13.574399999999999</v>
          </cell>
          <cell r="I21">
            <v>40.723199999999999</v>
          </cell>
        </row>
        <row r="22">
          <cell r="E22" t="str">
            <v>AKM100-B4 (Core Type)_9.6/28.8rmsA</v>
          </cell>
          <cell r="F22">
            <v>2.2400000000000002</v>
          </cell>
          <cell r="G22">
            <v>8.11</v>
          </cell>
          <cell r="H22">
            <v>3.16736</v>
          </cell>
          <cell r="I22">
            <v>11.467539999999998</v>
          </cell>
        </row>
        <row r="23">
          <cell r="E23" t="str">
            <v>AJM50-B2 (Core Type)_2.3/9.0rmsA</v>
          </cell>
          <cell r="F23">
            <v>3</v>
          </cell>
          <cell r="G23">
            <v>9</v>
          </cell>
          <cell r="H23">
            <v>4.242</v>
          </cell>
          <cell r="I23">
            <v>12.725999999999999</v>
          </cell>
        </row>
        <row r="24">
          <cell r="E24" t="str">
            <v>AJM80-B2 (Core Type)_2.3/9.0rmsA</v>
          </cell>
          <cell r="F24">
            <v>2.2999999999999998</v>
          </cell>
          <cell r="G24">
            <v>9</v>
          </cell>
          <cell r="H24">
            <v>3.2521999999999998</v>
          </cell>
          <cell r="I24">
            <v>12.725999999999999</v>
          </cell>
        </row>
        <row r="25">
          <cell r="E25" t="str">
            <v>AUM6-P5-S8 (Coreless Type)_10.4/72 rmsA</v>
          </cell>
          <cell r="F25">
            <v>5.75</v>
          </cell>
          <cell r="G25">
            <v>16.47</v>
          </cell>
          <cell r="H25">
            <v>16.260999999999999</v>
          </cell>
          <cell r="I25">
            <v>46.577159999999992</v>
          </cell>
        </row>
        <row r="26">
          <cell r="E26" t="str">
            <v>AKM100-B4 (Core Type)_9.6/28.8rmsA_Y1</v>
          </cell>
          <cell r="F26">
            <v>5.29</v>
          </cell>
          <cell r="G26">
            <v>10.77</v>
          </cell>
          <cell r="H26">
            <v>7.4800599999999999</v>
          </cell>
          <cell r="I26">
            <v>15.228779999999999</v>
          </cell>
        </row>
        <row r="27">
          <cell r="E27" t="str">
            <v>AUM5-S12-V107 (Coreless Type)_10/72rmsA</v>
          </cell>
          <cell r="F27">
            <v>14.92</v>
          </cell>
          <cell r="G27">
            <v>32.6</v>
          </cell>
          <cell r="H27">
            <v>21.096879999999999</v>
          </cell>
          <cell r="I27">
            <v>46.096400000000003</v>
          </cell>
        </row>
        <row r="28">
          <cell r="E28" t="str">
            <v>AKM30-B4 (Core Type)_9.6/28.8rmsA</v>
          </cell>
          <cell r="F28">
            <v>6.29</v>
          </cell>
          <cell r="G28">
            <v>12.09</v>
          </cell>
          <cell r="H28">
            <v>8.8940599999999996</v>
          </cell>
          <cell r="I28">
            <v>17.09526</v>
          </cell>
        </row>
        <row r="29">
          <cell r="E29" t="str">
            <v>AUM5-P-S6 (Coreless Type)_5/36 rmsA</v>
          </cell>
          <cell r="F29">
            <v>3.69</v>
          </cell>
          <cell r="G29">
            <v>5.26</v>
          </cell>
          <cell r="H29">
            <v>5.2176599999999995</v>
          </cell>
          <cell r="I29">
            <v>7.4376399999999991</v>
          </cell>
        </row>
        <row r="30">
          <cell r="E30" t="str">
            <v>I410-8(T) (Coreless Type)_8.5/38.2 rmsA</v>
          </cell>
          <cell r="F30">
            <v>4.4809999999999999</v>
          </cell>
          <cell r="G30">
            <v>6.806</v>
          </cell>
          <cell r="H30">
            <v>6.3361339999999995</v>
          </cell>
          <cell r="I30">
            <v>9.623683999999999</v>
          </cell>
        </row>
        <row r="31">
          <cell r="E31" t="str">
            <v>MI10-1(S)  (Core Type)_6.6/19.8 rmsA</v>
          </cell>
          <cell r="F31">
            <v>2.6459999999999999</v>
          </cell>
          <cell r="G31">
            <v>4.9219999999999997</v>
          </cell>
          <cell r="H31">
            <v>3.7414439999999995</v>
          </cell>
          <cell r="I31">
            <v>6.9597079999999991</v>
          </cell>
        </row>
        <row r="32">
          <cell r="E32" t="str">
            <v>AUM5-P-S2 (Coreless Type)_5/36 rmsA-A</v>
          </cell>
          <cell r="F32">
            <v>3.72</v>
          </cell>
          <cell r="G32">
            <v>5.01</v>
          </cell>
          <cell r="H32">
            <v>5.2600800000000003</v>
          </cell>
          <cell r="I32">
            <v>7.0841399999999997</v>
          </cell>
        </row>
        <row r="33">
          <cell r="E33" t="str">
            <v>AUM5-P-S2 (Coreless Type)_5/36 rmsA-B</v>
          </cell>
          <cell r="F33">
            <v>3.81</v>
          </cell>
          <cell r="G33">
            <v>4.7300000000000004</v>
          </cell>
          <cell r="H33">
            <v>10.77468</v>
          </cell>
          <cell r="I33">
            <v>13.376440000000001</v>
          </cell>
        </row>
        <row r="34">
          <cell r="E34" t="str">
            <v>SGM7A-20AFA6C (Rotary Motor)</v>
          </cell>
          <cell r="H34" t="str">
            <v>2.0KW</v>
          </cell>
        </row>
        <row r="35">
          <cell r="E35" t="str">
            <v>SGMJV-01ADA2C (Rotary Motor)</v>
          </cell>
          <cell r="H35">
            <v>0</v>
          </cell>
          <cell r="I35">
            <v>0</v>
          </cell>
        </row>
        <row r="36">
          <cell r="E36" t="str">
            <v>SGMGV-13AD2C (Rotary Motor)</v>
          </cell>
          <cell r="H36">
            <v>0</v>
          </cell>
          <cell r="I36">
            <v>0</v>
          </cell>
        </row>
        <row r="37">
          <cell r="E37" t="str">
            <v>ND400-150-LS-ABS (Nikkidenso)</v>
          </cell>
        </row>
        <row r="38">
          <cell r="E38" t="str">
            <v>SGM7A-15AFA2C (감속기 3:1)</v>
          </cell>
          <cell r="H38" t="str">
            <v>SGD7S-120A00A</v>
          </cell>
        </row>
        <row r="39">
          <cell r="E39" t="str">
            <v>SGM7J-08AFA2C</v>
          </cell>
          <cell r="H39" t="str">
            <v>SGD7S-5R5A</v>
          </cell>
        </row>
        <row r="40">
          <cell r="E40" t="str">
            <v>SGM7J-04AFA2C</v>
          </cell>
          <cell r="H40" t="str">
            <v>SGD7S-2R8A</v>
          </cell>
        </row>
        <row r="41">
          <cell r="E41" t="str">
            <v>SGM7J-02AFA21</v>
          </cell>
          <cell r="H41" t="str">
            <v>SGD7S-1R6A00A</v>
          </cell>
        </row>
        <row r="42">
          <cell r="E42" t="str">
            <v>SGM7J-02AFA2C</v>
          </cell>
          <cell r="H42" t="str">
            <v>SGD7S-1R6A00A</v>
          </cell>
        </row>
        <row r="43">
          <cell r="E43" t="str">
            <v>SGM7J-01AFA21</v>
          </cell>
          <cell r="H43" t="str">
            <v>SGD7S-R90A00A</v>
          </cell>
        </row>
        <row r="44">
          <cell r="E44" t="str">
            <v>SGM7A-01AFA21</v>
          </cell>
          <cell r="H44" t="str">
            <v>SGD7S-R90A00A</v>
          </cell>
        </row>
        <row r="45">
          <cell r="E45" t="str">
            <v>SGM7A-01AFA2C</v>
          </cell>
          <cell r="H45" t="str">
            <v>SGD7S-R90A00A</v>
          </cell>
        </row>
        <row r="46">
          <cell r="E46" t="str">
            <v>ND400-65FSP (ABS)</v>
          </cell>
          <cell r="H46" t="str">
            <v>VPH800W(I,O)</v>
          </cell>
        </row>
        <row r="47">
          <cell r="E47" t="str">
            <v>ML-PCL-3PE(Core Type) * 2 _ 9.3/27.9 rmsA</v>
          </cell>
          <cell r="F47">
            <v>18.600000000000001</v>
          </cell>
          <cell r="G47">
            <v>55.8</v>
          </cell>
          <cell r="H47">
            <v>26.3004</v>
          </cell>
          <cell r="I47">
            <v>78.901199999999989</v>
          </cell>
        </row>
        <row r="48">
          <cell r="E48" t="str">
            <v>ML-PCL-3PE(Core Type) _ 9.3/27.9 rmsA</v>
          </cell>
          <cell r="F48">
            <v>9.3000000000000007</v>
          </cell>
          <cell r="G48">
            <v>27.9</v>
          </cell>
          <cell r="H48">
            <v>13.1502</v>
          </cell>
          <cell r="I48">
            <v>39.450599999999994</v>
          </cell>
        </row>
        <row r="49">
          <cell r="E49" t="str">
            <v>ML-PCS-2S2PE(Core Type)_4.5/14.5 rmsA</v>
          </cell>
          <cell r="F49">
            <v>4.5</v>
          </cell>
          <cell r="G49">
            <v>14.5</v>
          </cell>
          <cell r="H49">
            <v>6.3629999999999995</v>
          </cell>
          <cell r="I49">
            <v>20.503</v>
          </cell>
        </row>
        <row r="50">
          <cell r="E50" t="str">
            <v>ML-ULX-3PA_11.1/33.3 rmsA</v>
          </cell>
          <cell r="F50">
            <v>11.1</v>
          </cell>
          <cell r="G50">
            <v>26.64</v>
          </cell>
          <cell r="H50">
            <v>15.695399999999999</v>
          </cell>
          <cell r="I50">
            <v>37.668959999999998</v>
          </cell>
        </row>
        <row r="51">
          <cell r="E51" t="str">
            <v>ML-PCL-3PE_9.3/27.9 rmsA</v>
          </cell>
          <cell r="F51">
            <v>6.51</v>
          </cell>
          <cell r="G51">
            <v>25.11</v>
          </cell>
          <cell r="H51">
            <v>9.2051399999999983</v>
          </cell>
          <cell r="I51">
            <v>35.505539999999996</v>
          </cell>
        </row>
        <row r="52">
          <cell r="E52" t="str">
            <v>ML-ULL-3PA_7.16/21.48 rmsA</v>
          </cell>
          <cell r="F52">
            <v>5.7280000000000006</v>
          </cell>
          <cell r="G52">
            <v>10.74</v>
          </cell>
          <cell r="H52">
            <v>8.0993919999999999</v>
          </cell>
          <cell r="I52">
            <v>15.186359999999999</v>
          </cell>
        </row>
        <row r="53">
          <cell r="E53" t="str">
            <v>ML-PCL-2PE(Core Type)_6.2/18.6 rmsA</v>
          </cell>
          <cell r="F53">
            <v>6.2</v>
          </cell>
          <cell r="G53">
            <v>18.600000000000001</v>
          </cell>
          <cell r="H53">
            <v>8.7667999999999999</v>
          </cell>
          <cell r="I53">
            <v>26.3004</v>
          </cell>
        </row>
        <row r="54">
          <cell r="E54" t="str">
            <v>ML-PCS-2SE(Core Type)_2.25/6.75 rmsA</v>
          </cell>
          <cell r="F54">
            <v>2.25</v>
          </cell>
          <cell r="G54">
            <v>6.75</v>
          </cell>
          <cell r="H54">
            <v>3.1814999999999998</v>
          </cell>
          <cell r="I54">
            <v>9.5444999999999993</v>
          </cell>
        </row>
        <row r="55">
          <cell r="E55" t="str">
            <v>ML-PCS-3S2PE(Core Type)_4.62/13.86 rmsA</v>
          </cell>
          <cell r="F55">
            <v>4.62</v>
          </cell>
          <cell r="G55">
            <v>13.86</v>
          </cell>
          <cell r="H55">
            <v>6.53268</v>
          </cell>
          <cell r="I55">
            <v>19.598039999999997</v>
          </cell>
        </row>
        <row r="56">
          <cell r="E56" t="str">
            <v>ML-ULX-4PA(Coreless Type)_14.8/44.4 rmsA0.86</v>
          </cell>
          <cell r="F56">
            <v>14.8</v>
          </cell>
          <cell r="G56">
            <v>44.4</v>
          </cell>
          <cell r="H56">
            <v>20.927199999999999</v>
          </cell>
          <cell r="I56">
            <v>54.168680608483101</v>
          </cell>
        </row>
        <row r="57">
          <cell r="E57" t="str">
            <v>ML-PCL-2PE(Core Type)_6.2/18.6 rmsA</v>
          </cell>
          <cell r="F57">
            <v>6.2</v>
          </cell>
          <cell r="G57">
            <v>18.600000000000001</v>
          </cell>
          <cell r="H57">
            <v>8.7667999999999999</v>
          </cell>
          <cell r="I57">
            <v>26.3004</v>
          </cell>
        </row>
        <row r="58">
          <cell r="E58" t="str">
            <v>ML-PCL-2PE(Core Type)_6.2/18.6 rmsA*0.7</v>
          </cell>
          <cell r="F58">
            <v>6.2</v>
          </cell>
          <cell r="G58">
            <v>18.600000000000001</v>
          </cell>
          <cell r="H58">
            <v>8.7667999999999999</v>
          </cell>
          <cell r="I58">
            <v>18.044520337199998</v>
          </cell>
        </row>
        <row r="59">
          <cell r="E59" t="str">
            <v>ML-ULL-4PA(Coreless Type)_9.55/28.65 rmsA</v>
          </cell>
          <cell r="F59">
            <v>9.5500000000000007</v>
          </cell>
          <cell r="G59">
            <v>28.65</v>
          </cell>
          <cell r="H59">
            <v>13.5037</v>
          </cell>
          <cell r="I59">
            <v>40.511099999999999</v>
          </cell>
        </row>
        <row r="60">
          <cell r="E60" t="str">
            <v>ML-ULX(e)-3PA(Coreless Type)_11.1/33.3 * 2</v>
          </cell>
          <cell r="F60">
            <v>11.1</v>
          </cell>
          <cell r="G60">
            <v>33.299999999999997</v>
          </cell>
          <cell r="H60">
            <v>31.390799999999999</v>
          </cell>
          <cell r="I60">
            <v>94.172399999999982</v>
          </cell>
        </row>
        <row r="61">
          <cell r="E61" t="str">
            <v>ML-PCL-3PE(Core Type) _ 9.3/27.9 rmsA</v>
          </cell>
          <cell r="F61">
            <v>9.3000000000000007</v>
          </cell>
          <cell r="G61">
            <v>27.9</v>
          </cell>
          <cell r="H61">
            <v>13.1502</v>
          </cell>
          <cell r="I61">
            <v>39.450599999999994</v>
          </cell>
        </row>
        <row r="62">
          <cell r="E62" t="str">
            <v>ML-PCL-2PE(Core Type)_6.2/18.6 rmsA * 2</v>
          </cell>
          <cell r="F62">
            <v>6.2</v>
          </cell>
          <cell r="G62">
            <v>18.600000000000001</v>
          </cell>
          <cell r="H62">
            <v>17.5336</v>
          </cell>
          <cell r="I62">
            <v>52.6008</v>
          </cell>
        </row>
        <row r="63">
          <cell r="E63" t="str">
            <v>ML-ULX(e)-4PA(Coreless Type)_14.8/44.4</v>
          </cell>
          <cell r="F63">
            <v>14.4</v>
          </cell>
          <cell r="G63">
            <v>44.4</v>
          </cell>
          <cell r="H63">
            <v>20.361599999999999</v>
          </cell>
          <cell r="I63">
            <v>62.781599999999997</v>
          </cell>
        </row>
        <row r="64"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B7C9-1E63-4A54-BC0B-721ADCDF10B2}">
  <dimension ref="B1:P94"/>
  <sheetViews>
    <sheetView tabSelected="1" topLeftCell="A16" zoomScale="145" zoomScaleNormal="145" workbookViewId="0">
      <selection activeCell="D30" sqref="D30"/>
    </sheetView>
  </sheetViews>
  <sheetFormatPr defaultRowHeight="16.5" x14ac:dyDescent="0.3"/>
  <cols>
    <col min="1" max="1" width="1.625" customWidth="1"/>
    <col min="2" max="2" width="7" customWidth="1"/>
    <col min="3" max="3" width="10.375" bestFit="1" customWidth="1"/>
    <col min="4" max="4" width="46.5" customWidth="1"/>
    <col min="5" max="5" width="37.125" customWidth="1"/>
    <col min="6" max="6" width="11.875" customWidth="1"/>
    <col min="7" max="8" width="13.375" style="3" customWidth="1"/>
    <col min="9" max="9" width="26.25" customWidth="1"/>
    <col min="10" max="10" width="22.875" customWidth="1"/>
    <col min="11" max="11" width="1.5" customWidth="1"/>
    <col min="12" max="13" width="23.875" customWidth="1"/>
    <col min="14" max="16" width="13" bestFit="1" customWidth="1"/>
    <col min="17" max="19" width="11.75" bestFit="1" customWidth="1"/>
  </cols>
  <sheetData>
    <row r="1" spans="2:15" ht="16.5" customHeight="1" x14ac:dyDescent="0.3">
      <c r="B1" s="67" t="str">
        <f>B5</f>
        <v>CELL 분판 검사기 STAGE</v>
      </c>
      <c r="C1" s="68"/>
      <c r="D1" s="69"/>
      <c r="E1" s="69"/>
      <c r="F1" s="69"/>
      <c r="G1" s="69"/>
      <c r="H1" s="69"/>
      <c r="I1" s="69"/>
      <c r="J1" s="69"/>
    </row>
    <row r="2" spans="2:15" ht="13.5" customHeight="1" x14ac:dyDescent="0.3">
      <c r="B2" s="67"/>
      <c r="C2" s="68"/>
      <c r="D2" s="69"/>
      <c r="E2" s="69"/>
      <c r="F2" s="69"/>
      <c r="G2" s="69"/>
      <c r="H2" s="69"/>
      <c r="I2" s="69"/>
      <c r="J2" s="69"/>
    </row>
    <row r="3" spans="2:15" ht="13.5" customHeight="1" x14ac:dyDescent="0.3">
      <c r="B3" s="67"/>
      <c r="C3" s="68"/>
      <c r="D3" s="69"/>
      <c r="E3" s="69"/>
      <c r="F3" s="69"/>
      <c r="G3" s="69"/>
      <c r="H3" s="69"/>
      <c r="I3" s="69"/>
      <c r="J3" s="69"/>
    </row>
    <row r="4" spans="2:15" ht="36" customHeight="1" x14ac:dyDescent="0.3">
      <c r="G4"/>
      <c r="H4"/>
    </row>
    <row r="5" spans="2:15" ht="85.5" customHeight="1" x14ac:dyDescent="0.3">
      <c r="B5" s="70" t="s">
        <v>0</v>
      </c>
      <c r="C5" s="71"/>
      <c r="D5" s="71"/>
      <c r="E5" s="71"/>
      <c r="F5" s="71"/>
      <c r="G5" s="71"/>
      <c r="H5" s="71"/>
      <c r="I5" s="71"/>
      <c r="J5" s="72"/>
      <c r="L5" s="73" t="s">
        <v>1</v>
      </c>
      <c r="M5" s="74"/>
    </row>
    <row r="6" spans="2:15" ht="35.25" customHeight="1" x14ac:dyDescent="0.3">
      <c r="B6" s="1" t="s">
        <v>2</v>
      </c>
      <c r="C6" s="32"/>
      <c r="D6" s="1" t="s">
        <v>3</v>
      </c>
      <c r="E6" s="1" t="s">
        <v>4</v>
      </c>
      <c r="F6" s="1" t="s">
        <v>5</v>
      </c>
      <c r="G6" s="2" t="s">
        <v>6</v>
      </c>
      <c r="H6" s="2" t="s">
        <v>7</v>
      </c>
      <c r="I6" s="2" t="s">
        <v>8</v>
      </c>
      <c r="J6" s="1" t="s">
        <v>9</v>
      </c>
      <c r="L6" s="73" t="s">
        <v>10</v>
      </c>
      <c r="M6" s="75"/>
      <c r="N6" s="3" t="s">
        <v>11</v>
      </c>
      <c r="O6" s="3" t="s">
        <v>12</v>
      </c>
    </row>
    <row r="7" spans="2:15" ht="19.5" customHeight="1" x14ac:dyDescent="0.3">
      <c r="B7" s="66" t="s">
        <v>13</v>
      </c>
      <c r="C7" s="32" t="s">
        <v>40</v>
      </c>
      <c r="D7" s="4" t="s">
        <v>73</v>
      </c>
      <c r="E7" s="5" t="s">
        <v>14</v>
      </c>
      <c r="F7" s="6">
        <v>1000</v>
      </c>
      <c r="G7" s="7">
        <f>VLOOKUP(E7,[1]MOTOR!E$6:I$211,4,FALSE)</f>
        <v>13.574399999999999</v>
      </c>
      <c r="H7" s="7">
        <f>VLOOKUP(E7,[1]MOTOR!E$6:I$211,5,FALSE)</f>
        <v>40.723199999999999</v>
      </c>
      <c r="I7" s="8" t="s">
        <v>15</v>
      </c>
      <c r="J7" s="9" t="s">
        <v>16</v>
      </c>
      <c r="L7" s="10" t="s">
        <v>17</v>
      </c>
      <c r="M7" s="1">
        <v>1</v>
      </c>
      <c r="N7" s="3">
        <v>2</v>
      </c>
      <c r="O7" s="58" t="s">
        <v>18</v>
      </c>
    </row>
    <row r="8" spans="2:15" ht="19.5" customHeight="1" x14ac:dyDescent="0.3">
      <c r="B8" s="66"/>
      <c r="C8" s="32" t="s">
        <v>41</v>
      </c>
      <c r="D8" s="4" t="s">
        <v>74</v>
      </c>
      <c r="E8" s="5" t="s">
        <v>14</v>
      </c>
      <c r="F8" s="6">
        <v>1000</v>
      </c>
      <c r="G8" s="7">
        <f>VLOOKUP(E8,[1]MOTOR!E$6:I$211,4,FALSE)</f>
        <v>13.574399999999999</v>
      </c>
      <c r="H8" s="7">
        <f>VLOOKUP(E8,[1]MOTOR!E$6:I$211,5,FALSE)</f>
        <v>40.723199999999999</v>
      </c>
      <c r="I8" s="8" t="s">
        <v>15</v>
      </c>
      <c r="J8" s="9" t="s">
        <v>16</v>
      </c>
      <c r="L8" s="10" t="s">
        <v>17</v>
      </c>
      <c r="M8" s="1">
        <v>1</v>
      </c>
      <c r="N8" s="3">
        <v>2</v>
      </c>
      <c r="O8" s="58"/>
    </row>
    <row r="9" spans="2:15" ht="19.5" customHeight="1" x14ac:dyDescent="0.3">
      <c r="B9" s="66"/>
      <c r="C9" s="32" t="s">
        <v>42</v>
      </c>
      <c r="D9" s="4" t="s">
        <v>51</v>
      </c>
      <c r="E9" s="5" t="s">
        <v>19</v>
      </c>
      <c r="F9" s="11">
        <v>820</v>
      </c>
      <c r="G9" s="7">
        <f>VLOOKUP(E9,[1]MOTOR!E$6:I$211,4,FALSE)</f>
        <v>3.2521999999999998</v>
      </c>
      <c r="H9" s="7">
        <f>VLOOKUP(E9,[1]MOTOR!E$6:I$211,5,FALSE)</f>
        <v>12.725999999999999</v>
      </c>
      <c r="I9" s="8" t="s">
        <v>15</v>
      </c>
      <c r="J9" s="9" t="s">
        <v>16</v>
      </c>
      <c r="L9" s="10" t="s">
        <v>20</v>
      </c>
      <c r="M9" s="12">
        <v>1</v>
      </c>
      <c r="N9" s="3">
        <v>2</v>
      </c>
      <c r="O9" s="58"/>
    </row>
    <row r="10" spans="2:15" ht="19.5" customHeight="1" x14ac:dyDescent="0.3">
      <c r="B10" s="66"/>
      <c r="C10" s="32" t="s">
        <v>43</v>
      </c>
      <c r="D10" s="4" t="s">
        <v>52</v>
      </c>
      <c r="E10" s="5" t="s">
        <v>19</v>
      </c>
      <c r="F10" s="11">
        <v>820</v>
      </c>
      <c r="G10" s="7">
        <f>VLOOKUP(E10,[1]MOTOR!E$6:I$211,4,FALSE)</f>
        <v>3.2521999999999998</v>
      </c>
      <c r="H10" s="7">
        <f>VLOOKUP(E10,[1]MOTOR!E$6:I$211,5,FALSE)</f>
        <v>12.725999999999999</v>
      </c>
      <c r="I10" s="8" t="s">
        <v>15</v>
      </c>
      <c r="J10" s="9" t="s">
        <v>16</v>
      </c>
      <c r="L10" s="10" t="s">
        <v>20</v>
      </c>
      <c r="M10" s="12">
        <v>1</v>
      </c>
      <c r="N10" s="3">
        <v>2</v>
      </c>
      <c r="O10" s="58"/>
    </row>
    <row r="11" spans="2:15" ht="19.5" customHeight="1" x14ac:dyDescent="0.3">
      <c r="B11" s="66"/>
      <c r="C11" s="32" t="s">
        <v>44</v>
      </c>
      <c r="D11" s="13" t="s">
        <v>53</v>
      </c>
      <c r="E11" s="5" t="s">
        <v>19</v>
      </c>
      <c r="F11" s="11">
        <v>820</v>
      </c>
      <c r="G11" s="7">
        <f>VLOOKUP(E11,[1]MOTOR!E$6:I$211,4,FALSE)</f>
        <v>3.2521999999999998</v>
      </c>
      <c r="H11" s="7">
        <f>VLOOKUP(E11,[1]MOTOR!E$6:I$211,5,FALSE)</f>
        <v>12.725999999999999</v>
      </c>
      <c r="I11" s="8" t="s">
        <v>15</v>
      </c>
      <c r="J11" s="9" t="s">
        <v>16</v>
      </c>
      <c r="L11" s="10" t="s">
        <v>20</v>
      </c>
      <c r="M11" s="12">
        <v>1</v>
      </c>
      <c r="N11" s="3">
        <v>2</v>
      </c>
      <c r="O11" s="59" t="s">
        <v>36</v>
      </c>
    </row>
    <row r="12" spans="2:15" ht="19.5" customHeight="1" x14ac:dyDescent="0.3">
      <c r="B12" s="66"/>
      <c r="C12" s="32" t="s">
        <v>45</v>
      </c>
      <c r="D12" s="13" t="s">
        <v>54</v>
      </c>
      <c r="E12" s="5" t="s">
        <v>19</v>
      </c>
      <c r="F12" s="11">
        <v>820</v>
      </c>
      <c r="G12" s="7">
        <f>VLOOKUP(E12,[1]MOTOR!E$6:I$211,4,FALSE)</f>
        <v>3.2521999999999998</v>
      </c>
      <c r="H12" s="7">
        <f>VLOOKUP(E12,[1]MOTOR!E$6:I$211,5,FALSE)</f>
        <v>12.725999999999999</v>
      </c>
      <c r="I12" s="8" t="s">
        <v>15</v>
      </c>
      <c r="J12" s="9" t="s">
        <v>16</v>
      </c>
      <c r="L12" s="10" t="s">
        <v>20</v>
      </c>
      <c r="M12" s="12">
        <v>1</v>
      </c>
      <c r="N12" s="3">
        <v>2</v>
      </c>
      <c r="O12" s="59"/>
    </row>
    <row r="13" spans="2:15" ht="19.5" customHeight="1" x14ac:dyDescent="0.3">
      <c r="B13" s="66"/>
      <c r="C13" s="32" t="s">
        <v>46</v>
      </c>
      <c r="D13" s="13" t="s">
        <v>55</v>
      </c>
      <c r="E13" s="5" t="s">
        <v>19</v>
      </c>
      <c r="F13" s="11">
        <v>820</v>
      </c>
      <c r="G13" s="7">
        <f>VLOOKUP(E13,[1]MOTOR!E$6:I$211,4,FALSE)</f>
        <v>3.2521999999999998</v>
      </c>
      <c r="H13" s="7">
        <f>VLOOKUP(E13,[1]MOTOR!E$6:I$211,5,FALSE)</f>
        <v>12.725999999999999</v>
      </c>
      <c r="I13" s="8" t="s">
        <v>15</v>
      </c>
      <c r="J13" s="9" t="s">
        <v>16</v>
      </c>
      <c r="L13" s="10" t="s">
        <v>20</v>
      </c>
      <c r="M13" s="12">
        <v>1</v>
      </c>
      <c r="N13" s="3">
        <v>2</v>
      </c>
      <c r="O13" s="59"/>
    </row>
    <row r="14" spans="2:15" ht="19.5" customHeight="1" x14ac:dyDescent="0.3">
      <c r="B14" s="66"/>
      <c r="C14" s="41" t="s">
        <v>83</v>
      </c>
      <c r="D14" s="34"/>
      <c r="E14" s="42"/>
      <c r="F14" s="36"/>
      <c r="G14" s="43"/>
      <c r="H14" s="43"/>
      <c r="I14" s="39"/>
      <c r="J14" s="40"/>
      <c r="K14" s="44"/>
      <c r="L14" s="45"/>
      <c r="M14" s="46"/>
      <c r="N14" s="29"/>
      <c r="O14" s="31"/>
    </row>
    <row r="15" spans="2:15" ht="19.5" customHeight="1" x14ac:dyDescent="0.3">
      <c r="B15" s="66"/>
      <c r="C15" s="33" t="s">
        <v>47</v>
      </c>
      <c r="D15" s="14" t="s">
        <v>86</v>
      </c>
      <c r="E15" s="5" t="s">
        <v>21</v>
      </c>
      <c r="F15" s="11">
        <v>1420</v>
      </c>
      <c r="G15" s="7">
        <f>VLOOKUP(E15,[1]MOTOR!E$6:I$211,4,FALSE)</f>
        <v>4.242</v>
      </c>
      <c r="H15" s="7">
        <f>VLOOKUP(E15,[1]MOTOR!E$6:I$211,5,FALSE)</f>
        <v>12.725999999999999</v>
      </c>
      <c r="I15" s="8" t="s">
        <v>15</v>
      </c>
      <c r="J15" s="9" t="s">
        <v>16</v>
      </c>
      <c r="L15" s="10" t="s">
        <v>20</v>
      </c>
      <c r="M15" s="12">
        <v>1</v>
      </c>
      <c r="N15" s="3">
        <v>2</v>
      </c>
      <c r="O15" s="60" t="s">
        <v>36</v>
      </c>
    </row>
    <row r="16" spans="2:15" ht="19.5" customHeight="1" x14ac:dyDescent="0.3">
      <c r="B16" s="66"/>
      <c r="C16" s="33" t="s">
        <v>48</v>
      </c>
      <c r="D16" s="14" t="s">
        <v>87</v>
      </c>
      <c r="E16" s="5" t="s">
        <v>21</v>
      </c>
      <c r="F16" s="11">
        <v>770</v>
      </c>
      <c r="G16" s="7">
        <f>VLOOKUP(E16,[1]MOTOR!E$6:I$211,4,FALSE)</f>
        <v>4.242</v>
      </c>
      <c r="H16" s="7">
        <f>VLOOKUP(E16,[1]MOTOR!E$6:I$211,5,FALSE)</f>
        <v>12.725999999999999</v>
      </c>
      <c r="I16" s="8" t="s">
        <v>15</v>
      </c>
      <c r="J16" s="9" t="s">
        <v>16</v>
      </c>
      <c r="L16" s="10" t="s">
        <v>20</v>
      </c>
      <c r="M16" s="12">
        <v>1</v>
      </c>
      <c r="N16" s="3">
        <v>2</v>
      </c>
      <c r="O16" s="60"/>
    </row>
    <row r="17" spans="2:16" ht="19.5" customHeight="1" x14ac:dyDescent="0.3">
      <c r="B17" s="66"/>
      <c r="C17" s="32">
        <v>20</v>
      </c>
      <c r="D17" s="15" t="s">
        <v>49</v>
      </c>
      <c r="E17" s="5" t="s">
        <v>22</v>
      </c>
      <c r="F17" s="11">
        <v>1860</v>
      </c>
      <c r="G17" s="7">
        <f>VLOOKUP(E17,[1]MOTOR!E$6:I$211,4,FALSE)</f>
        <v>13.574399999999999</v>
      </c>
      <c r="H17" s="7">
        <f>VLOOKUP(E17,[1]MOTOR!E$6:I$211,5,FALSE)</f>
        <v>40.723199999999999</v>
      </c>
      <c r="I17" s="8" t="s">
        <v>15</v>
      </c>
      <c r="J17" s="9" t="s">
        <v>16</v>
      </c>
      <c r="L17" s="50" t="s">
        <v>17</v>
      </c>
      <c r="M17" s="52">
        <v>1</v>
      </c>
      <c r="N17" s="3">
        <v>1</v>
      </c>
      <c r="O17" s="60"/>
    </row>
    <row r="18" spans="2:16" ht="19.5" customHeight="1" x14ac:dyDescent="0.3">
      <c r="B18" s="66"/>
      <c r="C18" s="32" t="s">
        <v>80</v>
      </c>
      <c r="D18" s="15" t="s">
        <v>50</v>
      </c>
      <c r="E18" s="5" t="s">
        <v>22</v>
      </c>
      <c r="F18" s="11">
        <v>40</v>
      </c>
      <c r="G18" s="7">
        <f>VLOOKUP(E18,[1]MOTOR!E$6:I$211,4,FALSE)</f>
        <v>13.574399999999999</v>
      </c>
      <c r="H18" s="7">
        <f>VLOOKUP(E18,[1]MOTOR!E$6:I$211,5,FALSE)</f>
        <v>40.723199999999999</v>
      </c>
      <c r="I18" s="8" t="s">
        <v>37</v>
      </c>
      <c r="J18" s="9" t="s">
        <v>16</v>
      </c>
      <c r="L18" s="54"/>
      <c r="M18" s="55"/>
      <c r="N18" s="29">
        <v>1</v>
      </c>
      <c r="O18" s="60"/>
      <c r="P18" s="29"/>
    </row>
    <row r="19" spans="2:16" ht="19.5" customHeight="1" x14ac:dyDescent="0.3">
      <c r="B19" s="66"/>
      <c r="C19" s="47" t="s">
        <v>84</v>
      </c>
      <c r="D19" s="76"/>
      <c r="E19" s="77"/>
      <c r="F19" s="77"/>
      <c r="G19" s="77"/>
      <c r="H19" s="77"/>
      <c r="I19" s="78"/>
      <c r="J19" s="49"/>
      <c r="K19" s="44"/>
      <c r="L19" s="79"/>
      <c r="M19" s="80"/>
      <c r="N19" s="3"/>
      <c r="P19" s="29"/>
    </row>
    <row r="20" spans="2:16" ht="19.5" customHeight="1" x14ac:dyDescent="0.3">
      <c r="B20" s="66"/>
      <c r="C20" s="33" t="s">
        <v>66</v>
      </c>
      <c r="D20" s="16" t="s">
        <v>88</v>
      </c>
      <c r="E20" s="17" t="s">
        <v>23</v>
      </c>
      <c r="F20" s="18">
        <v>950</v>
      </c>
      <c r="G20" s="61" t="str">
        <f>VLOOKUP(E20,[1]MOTOR!E$6:I$211,4,FALSE)</f>
        <v>SGD7S-120A00A</v>
      </c>
      <c r="H20" s="62"/>
      <c r="I20" s="19" t="s">
        <v>24</v>
      </c>
      <c r="J20" s="9" t="s">
        <v>16</v>
      </c>
      <c r="L20" s="50" t="s">
        <v>25</v>
      </c>
      <c r="M20" s="52">
        <v>1</v>
      </c>
      <c r="N20" s="3">
        <v>2</v>
      </c>
      <c r="O20" s="3"/>
    </row>
    <row r="21" spans="2:16" ht="19.5" customHeight="1" x14ac:dyDescent="0.3">
      <c r="B21" s="66"/>
      <c r="C21" s="33" t="s">
        <v>67</v>
      </c>
      <c r="D21" s="16" t="s">
        <v>89</v>
      </c>
      <c r="E21" s="17" t="s">
        <v>23</v>
      </c>
      <c r="F21" s="18">
        <v>200</v>
      </c>
      <c r="G21" s="61" t="str">
        <f>VLOOKUP(E21,[1]MOTOR!E$6:I$211,4,FALSE)</f>
        <v>SGD7S-120A00A</v>
      </c>
      <c r="H21" s="62"/>
      <c r="I21" s="19" t="s">
        <v>24</v>
      </c>
      <c r="J21" s="9" t="s">
        <v>16</v>
      </c>
      <c r="L21" s="54"/>
      <c r="M21" s="55"/>
      <c r="N21" s="3">
        <v>2</v>
      </c>
      <c r="O21" s="3"/>
    </row>
    <row r="22" spans="2:16" ht="19.5" customHeight="1" x14ac:dyDescent="0.3">
      <c r="B22" s="66"/>
      <c r="C22" s="33">
        <v>28</v>
      </c>
      <c r="D22" s="20" t="s">
        <v>75</v>
      </c>
      <c r="E22" s="17" t="s">
        <v>38</v>
      </c>
      <c r="F22" s="18">
        <v>20</v>
      </c>
      <c r="G22" s="61" t="str">
        <f>VLOOKUP(E22,[1]MOTOR!E$6:I$211,4,FALSE)</f>
        <v>SGD7S-R90A00A</v>
      </c>
      <c r="H22" s="62"/>
      <c r="I22" s="19" t="s">
        <v>26</v>
      </c>
      <c r="J22" s="9" t="s">
        <v>16</v>
      </c>
      <c r="L22" s="50" t="s">
        <v>25</v>
      </c>
      <c r="M22" s="52">
        <v>1</v>
      </c>
      <c r="N22" s="3">
        <v>1</v>
      </c>
      <c r="O22" s="3"/>
    </row>
    <row r="23" spans="2:16" ht="19.5" customHeight="1" x14ac:dyDescent="0.3">
      <c r="B23" s="66"/>
      <c r="C23" s="33">
        <v>29</v>
      </c>
      <c r="D23" s="20" t="s">
        <v>76</v>
      </c>
      <c r="E23" s="17" t="s">
        <v>38</v>
      </c>
      <c r="F23" s="18">
        <v>20</v>
      </c>
      <c r="G23" s="61" t="str">
        <f>VLOOKUP(E23,[1]MOTOR!E$6:I$211,4,FALSE)</f>
        <v>SGD7S-R90A00A</v>
      </c>
      <c r="H23" s="62"/>
      <c r="I23" s="19" t="s">
        <v>26</v>
      </c>
      <c r="J23" s="9" t="s">
        <v>16</v>
      </c>
      <c r="L23" s="51"/>
      <c r="M23" s="53"/>
      <c r="N23" s="3">
        <v>1</v>
      </c>
      <c r="O23" s="3"/>
    </row>
    <row r="24" spans="2:16" ht="19.5" customHeight="1" x14ac:dyDescent="0.3">
      <c r="B24" s="66"/>
      <c r="C24" s="33">
        <v>30</v>
      </c>
      <c r="D24" s="20" t="s">
        <v>77</v>
      </c>
      <c r="E24" s="17" t="s">
        <v>38</v>
      </c>
      <c r="F24" s="18">
        <v>20</v>
      </c>
      <c r="G24" s="61" t="str">
        <f>VLOOKUP(E24,[1]MOTOR!E$6:I$211,4,FALSE)</f>
        <v>SGD7S-R90A00A</v>
      </c>
      <c r="H24" s="62"/>
      <c r="I24" s="19" t="s">
        <v>26</v>
      </c>
      <c r="J24" s="9" t="s">
        <v>16</v>
      </c>
      <c r="L24" s="51"/>
      <c r="M24" s="53"/>
      <c r="N24" s="3">
        <v>1</v>
      </c>
      <c r="O24" s="3"/>
    </row>
    <row r="25" spans="2:16" ht="19.5" customHeight="1" x14ac:dyDescent="0.3">
      <c r="B25" s="66"/>
      <c r="C25" s="33">
        <v>31</v>
      </c>
      <c r="D25" s="20" t="s">
        <v>78</v>
      </c>
      <c r="E25" s="17" t="s">
        <v>38</v>
      </c>
      <c r="F25" s="18">
        <v>20</v>
      </c>
      <c r="G25" s="61" t="str">
        <f>VLOOKUP(E25,[1]MOTOR!E$6:I$211,4,FALSE)</f>
        <v>SGD7S-R90A00A</v>
      </c>
      <c r="H25" s="62"/>
      <c r="I25" s="19" t="s">
        <v>26</v>
      </c>
      <c r="J25" s="9" t="s">
        <v>16</v>
      </c>
      <c r="L25" s="54"/>
      <c r="M25" s="55"/>
      <c r="N25" s="3">
        <v>1</v>
      </c>
      <c r="O25" s="3"/>
    </row>
    <row r="26" spans="2:16" ht="19.5" customHeight="1" x14ac:dyDescent="0.3">
      <c r="B26" s="66"/>
      <c r="C26" s="33">
        <v>32</v>
      </c>
      <c r="D26" s="14" t="s">
        <v>79</v>
      </c>
      <c r="E26" s="17" t="s">
        <v>38</v>
      </c>
      <c r="F26" s="18">
        <v>20</v>
      </c>
      <c r="G26" s="61" t="str">
        <f>VLOOKUP(E26,[1]MOTOR!E$6:I$211,4,FALSE)</f>
        <v>SGD7S-R90A00A</v>
      </c>
      <c r="H26" s="62"/>
      <c r="I26" s="19" t="s">
        <v>26</v>
      </c>
      <c r="J26" s="9" t="s">
        <v>16</v>
      </c>
      <c r="L26" s="50" t="s">
        <v>27</v>
      </c>
      <c r="M26" s="52">
        <v>1</v>
      </c>
      <c r="N26" s="3">
        <v>1</v>
      </c>
      <c r="O26" s="3"/>
    </row>
    <row r="27" spans="2:16" ht="19.5" customHeight="1" x14ac:dyDescent="0.3">
      <c r="B27" s="66"/>
      <c r="C27" s="33">
        <v>33</v>
      </c>
      <c r="D27" s="14" t="s">
        <v>28</v>
      </c>
      <c r="E27" s="17" t="s">
        <v>29</v>
      </c>
      <c r="F27" s="21" t="s">
        <v>30</v>
      </c>
      <c r="G27" s="61" t="str">
        <f>VLOOKUP(E27,[1]MOTOR!E$6:I$211,4,FALSE)</f>
        <v>VPH800W(I,O)</v>
      </c>
      <c r="H27" s="62"/>
      <c r="I27" s="19" t="s">
        <v>31</v>
      </c>
      <c r="J27" s="9" t="s">
        <v>32</v>
      </c>
      <c r="L27" s="54"/>
      <c r="M27" s="55"/>
      <c r="N27" s="3">
        <v>1</v>
      </c>
      <c r="O27" s="3"/>
    </row>
    <row r="28" spans="2:16" ht="19.5" customHeight="1" x14ac:dyDescent="0.3">
      <c r="B28" s="66"/>
      <c r="C28" s="32">
        <v>34</v>
      </c>
      <c r="D28" s="22" t="s">
        <v>61</v>
      </c>
      <c r="E28" s="17" t="s">
        <v>38</v>
      </c>
      <c r="F28" s="11">
        <v>20</v>
      </c>
      <c r="G28" s="63" t="str">
        <f>VLOOKUP(E28,[1]MOTOR!E$6:I$211,4,FALSE)</f>
        <v>SGD7S-R90A00A</v>
      </c>
      <c r="H28" s="64"/>
      <c r="I28" s="8" t="s">
        <v>33</v>
      </c>
      <c r="J28" s="9" t="s">
        <v>34</v>
      </c>
      <c r="L28" s="50" t="s">
        <v>35</v>
      </c>
      <c r="M28" s="52">
        <v>1</v>
      </c>
      <c r="N28" s="3">
        <v>1</v>
      </c>
      <c r="O28" s="3"/>
    </row>
    <row r="29" spans="2:16" ht="19.5" customHeight="1" x14ac:dyDescent="0.3">
      <c r="B29" s="66"/>
      <c r="C29" s="32">
        <v>35</v>
      </c>
      <c r="D29" s="22" t="s">
        <v>62</v>
      </c>
      <c r="E29" s="17" t="s">
        <v>38</v>
      </c>
      <c r="F29" s="11">
        <v>20</v>
      </c>
      <c r="G29" s="63" t="str">
        <f>VLOOKUP(E29,[1]MOTOR!E$6:I$211,4,FALSE)</f>
        <v>SGD7S-R90A00A</v>
      </c>
      <c r="H29" s="64"/>
      <c r="I29" s="8" t="s">
        <v>33</v>
      </c>
      <c r="J29" s="9" t="s">
        <v>34</v>
      </c>
      <c r="L29" s="51"/>
      <c r="M29" s="53"/>
      <c r="N29" s="3">
        <v>1</v>
      </c>
      <c r="O29" s="3"/>
    </row>
    <row r="30" spans="2:16" ht="19.5" customHeight="1" x14ac:dyDescent="0.3">
      <c r="B30" s="66"/>
      <c r="C30" s="32">
        <v>36</v>
      </c>
      <c r="D30" s="22" t="s">
        <v>63</v>
      </c>
      <c r="E30" s="17" t="s">
        <v>38</v>
      </c>
      <c r="F30" s="11">
        <v>20</v>
      </c>
      <c r="G30" s="63" t="str">
        <f>VLOOKUP(E30,[1]MOTOR!E$6:I$211,4,FALSE)</f>
        <v>SGD7S-R90A00A</v>
      </c>
      <c r="H30" s="64"/>
      <c r="I30" s="8" t="s">
        <v>33</v>
      </c>
      <c r="J30" s="9" t="s">
        <v>34</v>
      </c>
      <c r="L30" s="51"/>
      <c r="M30" s="53"/>
      <c r="N30" s="3">
        <v>1</v>
      </c>
      <c r="O30" s="3"/>
    </row>
    <row r="31" spans="2:16" ht="19.5" customHeight="1" x14ac:dyDescent="0.3">
      <c r="B31" s="66"/>
      <c r="C31" s="32">
        <v>37</v>
      </c>
      <c r="D31" s="22" t="s">
        <v>64</v>
      </c>
      <c r="E31" s="17" t="s">
        <v>38</v>
      </c>
      <c r="F31" s="11">
        <v>20</v>
      </c>
      <c r="G31" s="63" t="str">
        <f>VLOOKUP(E31,[1]MOTOR!E$6:I$211,4,FALSE)</f>
        <v>SGD7S-R90A00A</v>
      </c>
      <c r="H31" s="64"/>
      <c r="I31" s="8" t="s">
        <v>33</v>
      </c>
      <c r="J31" s="9" t="s">
        <v>34</v>
      </c>
      <c r="L31" s="54"/>
      <c r="M31" s="55"/>
      <c r="N31" s="3">
        <v>1</v>
      </c>
      <c r="O31" s="3"/>
    </row>
    <row r="32" spans="2:16" ht="19.5" customHeight="1" x14ac:dyDescent="0.3">
      <c r="B32" s="66"/>
      <c r="C32" s="32">
        <v>38</v>
      </c>
      <c r="D32" s="13" t="s">
        <v>65</v>
      </c>
      <c r="E32" s="17" t="s">
        <v>38</v>
      </c>
      <c r="F32" s="11">
        <v>20</v>
      </c>
      <c r="G32" s="63" t="str">
        <f>VLOOKUP(E32,[1]MOTOR!E$6:I$211,4,FALSE)</f>
        <v>SGD7S-R90A00A</v>
      </c>
      <c r="H32" s="64"/>
      <c r="I32" s="8" t="s">
        <v>33</v>
      </c>
      <c r="J32" s="9" t="s">
        <v>34</v>
      </c>
      <c r="L32" s="65" t="s">
        <v>35</v>
      </c>
      <c r="M32" s="66">
        <v>1</v>
      </c>
      <c r="N32" s="3">
        <v>1</v>
      </c>
      <c r="O32" s="3"/>
    </row>
    <row r="33" spans="2:15" ht="19.5" customHeight="1" x14ac:dyDescent="0.3">
      <c r="B33" s="66"/>
      <c r="C33" s="41">
        <v>39</v>
      </c>
      <c r="D33" s="34"/>
      <c r="E33" s="35"/>
      <c r="F33" s="36"/>
      <c r="G33" s="37"/>
      <c r="H33" s="38"/>
      <c r="I33" s="39"/>
      <c r="J33" s="40"/>
      <c r="L33" s="65"/>
      <c r="M33" s="66"/>
      <c r="N33" s="29"/>
      <c r="O33" s="29"/>
    </row>
    <row r="34" spans="2:15" ht="19.5" customHeight="1" x14ac:dyDescent="0.3">
      <c r="B34" s="66"/>
      <c r="C34" s="41" t="s">
        <v>85</v>
      </c>
      <c r="D34" s="34"/>
      <c r="E34" s="35"/>
      <c r="F34" s="36"/>
      <c r="G34" s="37"/>
      <c r="H34" s="38"/>
      <c r="I34" s="39"/>
      <c r="J34" s="40"/>
      <c r="L34" s="65"/>
      <c r="M34" s="66"/>
      <c r="N34" s="29"/>
      <c r="O34" s="29"/>
    </row>
    <row r="35" spans="2:15" ht="19.5" customHeight="1" x14ac:dyDescent="0.3">
      <c r="B35" s="66"/>
      <c r="C35" s="33" t="s">
        <v>68</v>
      </c>
      <c r="D35" s="23" t="s">
        <v>56</v>
      </c>
      <c r="E35" s="17" t="s">
        <v>39</v>
      </c>
      <c r="F35" s="18">
        <v>40</v>
      </c>
      <c r="G35" s="61" t="str">
        <f>VLOOKUP(E35,[1]MOTOR!E$6:I$211,4,FALSE)</f>
        <v>SGD7S-R90A00A</v>
      </c>
      <c r="H35" s="62"/>
      <c r="I35" s="19" t="s">
        <v>26</v>
      </c>
      <c r="J35" s="9" t="s">
        <v>32</v>
      </c>
      <c r="L35" s="50" t="s">
        <v>81</v>
      </c>
      <c r="M35" s="52">
        <v>1</v>
      </c>
      <c r="N35" s="3">
        <v>2</v>
      </c>
    </row>
    <row r="36" spans="2:15" ht="19.5" customHeight="1" x14ac:dyDescent="0.3">
      <c r="B36" s="66"/>
      <c r="C36" s="33" t="s">
        <v>69</v>
      </c>
      <c r="D36" s="24" t="s">
        <v>57</v>
      </c>
      <c r="E36" s="17" t="s">
        <v>39</v>
      </c>
      <c r="F36" s="18">
        <v>40</v>
      </c>
      <c r="G36" s="61" t="str">
        <f>VLOOKUP(E36,[1]MOTOR!E$6:I$211,4,FALSE)</f>
        <v>SGD7S-R90A00A</v>
      </c>
      <c r="H36" s="62"/>
      <c r="I36" s="19" t="s">
        <v>26</v>
      </c>
      <c r="J36" s="9" t="s">
        <v>32</v>
      </c>
      <c r="L36" s="51"/>
      <c r="M36" s="53"/>
      <c r="N36" s="3">
        <v>2</v>
      </c>
    </row>
    <row r="37" spans="2:15" ht="19.5" customHeight="1" x14ac:dyDescent="0.3">
      <c r="B37" s="66"/>
      <c r="C37" s="33" t="s">
        <v>70</v>
      </c>
      <c r="D37" s="24" t="s">
        <v>58</v>
      </c>
      <c r="E37" s="17" t="s">
        <v>39</v>
      </c>
      <c r="F37" s="18">
        <v>40</v>
      </c>
      <c r="G37" s="61" t="str">
        <f>VLOOKUP(E37,[1]MOTOR!E$6:I$211,4,FALSE)</f>
        <v>SGD7S-R90A00A</v>
      </c>
      <c r="H37" s="62"/>
      <c r="I37" s="19" t="s">
        <v>26</v>
      </c>
      <c r="J37" s="9" t="s">
        <v>32</v>
      </c>
      <c r="L37" s="50" t="s">
        <v>81</v>
      </c>
      <c r="M37" s="52">
        <v>1</v>
      </c>
      <c r="N37" s="3">
        <v>2</v>
      </c>
    </row>
    <row r="38" spans="2:15" ht="19.5" customHeight="1" x14ac:dyDescent="0.3">
      <c r="B38" s="66"/>
      <c r="C38" s="33" t="s">
        <v>71</v>
      </c>
      <c r="D38" s="14" t="s">
        <v>59</v>
      </c>
      <c r="E38" s="17" t="s">
        <v>39</v>
      </c>
      <c r="F38" s="18">
        <v>40</v>
      </c>
      <c r="G38" s="61" t="str">
        <f>VLOOKUP(E38,[1]MOTOR!E$6:I$211,4,FALSE)</f>
        <v>SGD7S-R90A00A</v>
      </c>
      <c r="H38" s="62"/>
      <c r="I38" s="19" t="s">
        <v>26</v>
      </c>
      <c r="J38" s="9" t="s">
        <v>32</v>
      </c>
      <c r="L38" s="51"/>
      <c r="M38" s="53"/>
      <c r="N38" s="3">
        <v>2</v>
      </c>
    </row>
    <row r="39" spans="2:15" ht="19.5" customHeight="1" x14ac:dyDescent="0.3">
      <c r="B39" s="66"/>
      <c r="C39" s="33" t="s">
        <v>72</v>
      </c>
      <c r="D39" s="14" t="s">
        <v>60</v>
      </c>
      <c r="E39" s="17" t="s">
        <v>39</v>
      </c>
      <c r="F39" s="18">
        <v>40</v>
      </c>
      <c r="G39" s="61" t="str">
        <f>VLOOKUP(E39,[1]MOTOR!E$6:I$211,4,FALSE)</f>
        <v>SGD7S-R90A00A</v>
      </c>
      <c r="H39" s="62"/>
      <c r="I39" s="19" t="s">
        <v>26</v>
      </c>
      <c r="J39" s="9" t="s">
        <v>32</v>
      </c>
      <c r="L39" s="50" t="s">
        <v>81</v>
      </c>
      <c r="M39" s="52">
        <v>1</v>
      </c>
      <c r="N39" s="3">
        <v>2</v>
      </c>
    </row>
    <row r="40" spans="2:15" ht="19.5" customHeight="1" x14ac:dyDescent="0.3">
      <c r="B40" s="66"/>
      <c r="C40" s="41" t="s">
        <v>82</v>
      </c>
      <c r="D40" s="34"/>
      <c r="E40" s="35"/>
      <c r="F40" s="36"/>
      <c r="G40" s="56"/>
      <c r="H40" s="57"/>
      <c r="I40" s="48"/>
      <c r="J40" s="40"/>
      <c r="L40" s="54"/>
      <c r="M40" s="55"/>
      <c r="N40" s="3"/>
    </row>
    <row r="41" spans="2:15" x14ac:dyDescent="0.3">
      <c r="N41" s="3"/>
      <c r="O41" s="3"/>
    </row>
    <row r="42" spans="2:15" x14ac:dyDescent="0.3">
      <c r="F42" s="30"/>
      <c r="N42" s="3"/>
      <c r="O42" s="3"/>
    </row>
    <row r="43" spans="2:15" x14ac:dyDescent="0.3">
      <c r="F43" s="30"/>
      <c r="N43" s="25"/>
      <c r="O43" s="25"/>
    </row>
    <row r="44" spans="2:15" x14ac:dyDescent="0.3">
      <c r="F44" s="30"/>
      <c r="N44" s="25"/>
      <c r="O44" s="25"/>
    </row>
    <row r="45" spans="2:15" x14ac:dyDescent="0.3">
      <c r="N45" s="25"/>
      <c r="O45" s="25"/>
    </row>
    <row r="46" spans="2:15" x14ac:dyDescent="0.3">
      <c r="N46" s="25"/>
      <c r="O46" s="25"/>
    </row>
    <row r="47" spans="2:15" x14ac:dyDescent="0.3">
      <c r="N47" s="25"/>
      <c r="O47" s="25"/>
    </row>
    <row r="48" spans="2:15" x14ac:dyDescent="0.3">
      <c r="N48" s="25"/>
      <c r="O48" s="25"/>
    </row>
    <row r="49" spans="14:15" x14ac:dyDescent="0.3">
      <c r="N49" s="25"/>
      <c r="O49" s="25"/>
    </row>
    <row r="50" spans="14:15" x14ac:dyDescent="0.3">
      <c r="N50" s="25"/>
      <c r="O50" s="25"/>
    </row>
    <row r="51" spans="14:15" x14ac:dyDescent="0.3">
      <c r="N51" s="25"/>
      <c r="O51" s="25"/>
    </row>
    <row r="52" spans="14:15" x14ac:dyDescent="0.3">
      <c r="N52" s="25"/>
      <c r="O52" s="25"/>
    </row>
    <row r="53" spans="14:15" x14ac:dyDescent="0.3">
      <c r="N53" s="25"/>
      <c r="O53" s="25"/>
    </row>
    <row r="54" spans="14:15" x14ac:dyDescent="0.3">
      <c r="N54" s="25"/>
      <c r="O54" s="25"/>
    </row>
    <row r="55" spans="14:15" x14ac:dyDescent="0.3">
      <c r="N55" s="25"/>
      <c r="O55" s="25"/>
    </row>
    <row r="56" spans="14:15" x14ac:dyDescent="0.3">
      <c r="N56" s="25"/>
      <c r="O56" s="25"/>
    </row>
    <row r="57" spans="14:15" x14ac:dyDescent="0.3">
      <c r="N57" s="25"/>
      <c r="O57" s="25"/>
    </row>
    <row r="58" spans="14:15" x14ac:dyDescent="0.3">
      <c r="N58" s="25"/>
      <c r="O58" s="25"/>
    </row>
    <row r="59" spans="14:15" x14ac:dyDescent="0.3">
      <c r="N59" s="25"/>
      <c r="O59" s="25"/>
    </row>
    <row r="60" spans="14:15" x14ac:dyDescent="0.3">
      <c r="N60" s="25"/>
      <c r="O60" s="25"/>
    </row>
    <row r="61" spans="14:15" x14ac:dyDescent="0.3">
      <c r="N61" s="25"/>
      <c r="O61" s="25"/>
    </row>
    <row r="62" spans="14:15" x14ac:dyDescent="0.3">
      <c r="N62" s="25"/>
      <c r="O62" s="25"/>
    </row>
    <row r="63" spans="14:15" x14ac:dyDescent="0.3">
      <c r="N63" s="25"/>
      <c r="O63" s="25"/>
    </row>
    <row r="81" spans="14:15" x14ac:dyDescent="0.3">
      <c r="N81" s="26"/>
      <c r="O81" s="26"/>
    </row>
    <row r="82" spans="14:15" x14ac:dyDescent="0.3">
      <c r="N82" s="26"/>
      <c r="O82" s="26"/>
    </row>
    <row r="83" spans="14:15" x14ac:dyDescent="0.3">
      <c r="N83" s="26">
        <v>2770000</v>
      </c>
      <c r="O83" s="26">
        <v>2770000</v>
      </c>
    </row>
    <row r="84" spans="14:15" x14ac:dyDescent="0.3">
      <c r="N84" s="26">
        <v>23540000</v>
      </c>
      <c r="O84" s="26">
        <v>18460000</v>
      </c>
    </row>
    <row r="85" spans="14:15" x14ac:dyDescent="0.3">
      <c r="N85" s="26"/>
      <c r="O85" s="26"/>
    </row>
    <row r="86" spans="14:15" x14ac:dyDescent="0.3">
      <c r="N86" s="27"/>
    </row>
    <row r="94" spans="14:15" ht="20.25" x14ac:dyDescent="0.3">
      <c r="N94" s="28"/>
      <c r="O94" s="28"/>
    </row>
  </sheetData>
  <mergeCells count="47">
    <mergeCell ref="B1:J3"/>
    <mergeCell ref="B5:J5"/>
    <mergeCell ref="L5:M5"/>
    <mergeCell ref="L6:M6"/>
    <mergeCell ref="B7:B40"/>
    <mergeCell ref="D19:I19"/>
    <mergeCell ref="L19:M19"/>
    <mergeCell ref="G20:H20"/>
    <mergeCell ref="L20:L21"/>
    <mergeCell ref="M20:M21"/>
    <mergeCell ref="G21:H21"/>
    <mergeCell ref="G22:H22"/>
    <mergeCell ref="L22:L25"/>
    <mergeCell ref="M22:M25"/>
    <mergeCell ref="G23:H23"/>
    <mergeCell ref="G24:H24"/>
    <mergeCell ref="G25:H25"/>
    <mergeCell ref="G26:H26"/>
    <mergeCell ref="L26:L27"/>
    <mergeCell ref="M26:M27"/>
    <mergeCell ref="G27:H27"/>
    <mergeCell ref="M32:M34"/>
    <mergeCell ref="L35:L36"/>
    <mergeCell ref="M35:M36"/>
    <mergeCell ref="G28:H28"/>
    <mergeCell ref="L28:L31"/>
    <mergeCell ref="M28:M31"/>
    <mergeCell ref="G29:H29"/>
    <mergeCell ref="G30:H30"/>
    <mergeCell ref="G31:H31"/>
    <mergeCell ref="G32:H32"/>
    <mergeCell ref="G35:H35"/>
    <mergeCell ref="G36:H36"/>
    <mergeCell ref="G37:H37"/>
    <mergeCell ref="L32:L34"/>
    <mergeCell ref="O7:O10"/>
    <mergeCell ref="O11:O13"/>
    <mergeCell ref="L17:L18"/>
    <mergeCell ref="M17:M18"/>
    <mergeCell ref="O15:O18"/>
    <mergeCell ref="L37:L38"/>
    <mergeCell ref="M37:M38"/>
    <mergeCell ref="L39:L40"/>
    <mergeCell ref="M39:M40"/>
    <mergeCell ref="G40:H40"/>
    <mergeCell ref="G38:H38"/>
    <mergeCell ref="G39:H3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0AD3-E59A-437D-A770-C19DD5274543}">
  <dimension ref="A1"/>
  <sheetViews>
    <sheetView workbookViewId="0">
      <selection activeCell="L12" sqref="L12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CELL 분판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최승현</cp:lastModifiedBy>
  <dcterms:created xsi:type="dcterms:W3CDTF">2021-11-05T10:35:12Z</dcterms:created>
  <dcterms:modified xsi:type="dcterms:W3CDTF">2021-12-08T04:22:16Z</dcterms:modified>
</cp:coreProperties>
</file>